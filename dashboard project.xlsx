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R:\Project For DA\Call Centre Project(Excel)\"/>
    </mc:Choice>
  </mc:AlternateContent>
  <xr:revisionPtr revIDLastSave="0" documentId="13_ncr:1_{EFB73895-AC04-4FC5-868E-75FD8410A317}" xr6:coauthVersionLast="47" xr6:coauthVersionMax="47" xr10:uidLastSave="{00000000-0000-0000-0000-000000000000}"/>
  <bookViews>
    <workbookView xWindow="-108" yWindow="-108" windowWidth="23256" windowHeight="13176" xr2:uid="{26D4546B-D2A1-4444-8EAF-A6228F96F0C1}"/>
  </bookViews>
  <sheets>
    <sheet name="Customer Report" sheetId="5" r:id="rId1"/>
    <sheet name="Data" sheetId="2" r:id="rId2"/>
    <sheet name="Pivots" sheetId="6"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139" r:id="rId9"/>
    <pivotCache cacheId="142" r:id="rId10"/>
    <pivotCache cacheId="145" r:id="rId11"/>
    <pivotCache cacheId="148" r:id="rId12"/>
    <pivotCache cacheId="151" r:id="rId13"/>
    <pivotCache cacheId="154"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0" i="5" l="1" a="1"/>
  <c r="Q21" i="5" a="1"/>
  <c r="J30" i="6"/>
  <c r="F32" i="6"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K982" i="2" a="1"/>
  <c r="K983" i="2" a="1"/>
  <c r="K984" i="2" a="1"/>
  <c r="K985" i="2" a="1"/>
  <c r="K986" i="2" a="1"/>
  <c r="K987" i="2" a="1"/>
  <c r="K988" i="2" a="1"/>
  <c r="K989" i="2" a="1"/>
  <c r="K990" i="2" a="1"/>
  <c r="K991" i="2" a="1"/>
  <c r="K992" i="2" a="1"/>
  <c r="K993" i="2" a="1"/>
  <c r="K994" i="2" a="1"/>
  <c r="K995" i="2" a="1"/>
  <c r="K996" i="2" a="1"/>
  <c r="K997" i="2" a="1"/>
  <c r="K998" i="2" a="1"/>
  <c r="K999" i="2" a="1"/>
  <c r="K1000" i="2" a="1"/>
  <c r="K1001" i="2" a="1"/>
  <c r="K1002" i="2" a="1"/>
  <c r="K1003" i="2"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33" i="6" l="1"/>
  <c r="J34" i="6"/>
  <c r="J35" i="6"/>
  <c r="J36" i="6"/>
  <c r="J32" i="6"/>
  <c r="I34" i="6"/>
  <c r="I33" i="6"/>
  <c r="I36" i="6"/>
  <c r="I35" i="6"/>
  <c r="I3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691336-7E0A-4AD1-8F58-6DB536ADA5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D5ADB5A-47DA-4CC2-8CE8-1ADCDC9C9D59}"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3D77E1A0-17C7-4851-B8C5-2CB938C9FBEA}"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<sst xmlns="http://schemas.openxmlformats.org/spreadsheetml/2006/main" count="3170" uniqueCount="1080">
  <si>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</si>
  <si>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</si>
  <si>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</si>
  <si>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</si>
  <si>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</si>
  <si>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</si>
  <si>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</si>
  <si>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</si>
  <si>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</si>
  <si>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</si>
  <si>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</si>
  <si>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</si>
  <si>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</si>
  <si>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</si>
  <si>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</si>
  <si>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</si>
  <si>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</si>
  <si>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</si>
  <si>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</si>
  <si>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</si>
  <si>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</si>
  <si>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</si>
  <si>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</si>
  <si>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</si>
  <si>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</si>
  <si>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</si>
  <si>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</si>
  <si>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</si>
  <si>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</si>
  <si>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</si>
  <si>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</si>
  <si>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</si>
  <si>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</si>
  <si>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</si>
  <si>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</si>
  <si>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</si>
  <si>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</si>
  <si>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</si>
  <si>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</si>
  <si>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</si>
  <si>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</si>
  <si>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</si>
  <si>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</si>
  <si>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</si>
  <si>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</si>
  <si>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</si>
  <si>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</si>
  <si>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</si>
  <si>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</si>
  <si>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</si>
  <si>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</si>
  <si>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</si>
  <si>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</si>
  <si>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</si>
  <si>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</si>
  <si>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</si>
  <si>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</si>
  <si>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</si>
  <si>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</si>
  <si>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</si>
  <si>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</si>
  <si>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</si>
  <si>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</si>
  <si>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</si>
  <si>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</si>
  <si>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</si>
  <si>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</si>
  <si>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</si>
  <si>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</si>
  <si>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</si>
  <si>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</si>
  <si>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</si>
  <si>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</si>
  <si>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</si>
  <si>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</si>
  <si>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</si>
  <si>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</si>
  <si>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</si>
  <si>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</si>
  <si>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</si>
  <si>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</si>
  <si>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</si>
  <si>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</si>
  <si>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</si>
  <si>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</si>
  <si>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</si>
  <si>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</si>
  <si>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</si>
  <si>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</si>
  <si>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</si>
  <si>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</si>
  <si>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</si>
  <si>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</si>
  <si>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</si>
  <si>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</si>
  <si>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</si>
  <si>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</si>
  <si>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</si>
  <si>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</si>
  <si>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</si>
  <si>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</si>
  <si>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</si>
  <si>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</si>
  <si>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</si>
  <si>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</si>
  <si>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</si>
  <si>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</si>
  <si>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</si>
  <si>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</si>
  <si>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</si>
  <si>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</si>
  <si>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</si>
  <si>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</si>
  <si>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</si>
  <si>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</si>
  <si>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</si>
  <si>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</si>
  <si>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</si>
  <si>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</si>
  <si>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</si>
  <si>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</si>
  <si>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</si>
  <si>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</si>
  <si>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</si>
  <si>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</si>
  <si>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</si>
  <si>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</si>
  <si>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</si>
  <si>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</si>
  <si>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</si>
  <si>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</si>
  <si>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</si>
  <si>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</si>
  <si>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</si>
  <si>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</si>
  <si>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</si>
  <si>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</si>
  <si>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</si>
  <si>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</si>
  <si>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</si>
  <si>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</si>
  <si>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</si>
  <si>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</si>
  <si>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</si>
  <si>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</si>
  <si>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</si>
  <si>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</si>
  <si>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</si>
  <si>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</si>
  <si>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</si>
  <si>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</si>
  <si>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</si>
  <si>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</si>
  <si>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</si>
  <si>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</si>
  <si>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</si>
  <si>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</si>
  <si>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</si>
  <si>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</si>
  <si>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</si>
  <si>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</si>
  <si>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</si>
  <si>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</si>
  <si>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</si>
  <si>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</si>
  <si>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</si>
  <si>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</si>
  <si>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</si>
  <si>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</si>
  <si>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</si>
  <si>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</si>
  <si>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</si>
  <si>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</si>
  <si>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</si>
  <si>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</si>
  <si>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</si>
  <si>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</si>
  <si>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</si>
  <si>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</si>
  <si>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</si>
  <si>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</si>
  <si>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</si>
  <si>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</si>
  <si>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</si>
  <si>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</si>
  <si>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</si>
  <si>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</si>
  <si>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</si>
  <si>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</si>
  <si>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</si>
  <si>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</si>
  <si>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</si>
  <si>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</si>
  <si>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</si>
  <si>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</si>
  <si>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</si>
  <si>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</si>
  <si>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</si>
  <si>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</si>
  <si>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</si>
  <si>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</si>
  <si>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</si>
  <si>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</si>
  <si>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</si>
  <si>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</si>
  <si>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</si>
  <si>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</si>
  <si>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</si>
  <si>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</si>
  <si>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</si>
  <si>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</si>
  <si>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</si>
  <si>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</si>
  <si>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</si>
  <si>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</si>
  <si>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</si>
  <si>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</si>
  <si>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</si>
  <si>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</si>
  <si>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</si>
  <si>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</si>
  <si>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</si>
  <si>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</si>
  <si>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</si>
  <si>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</si>
  <si>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</si>
  <si>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</si>
  <si>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</si>
  <si>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</si>
  <si>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</si>
  <si>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</si>
  <si>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</si>
  <si>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</si>
  <si>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</si>
  <si>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</si>
  <si>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</si>
  <si>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</si>
  <si>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</si>
  <si>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</si>
  <si>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</si>
  <si>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</si>
  <si>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</si>
  <si>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</si>
  <si>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</si>
  <si>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</si>
  <si>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</si>
  <si>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</si>
  <si>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</si>
  <si>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</si>
  <si>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</si>
  <si>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</si>
  <si>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</si>
  <si>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</si>
  <si>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</si>
  <si>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</si>
  <si>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</si>
  <si>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</si>
  <si>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</si>
  <si>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</si>
  <si>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</si>
  <si>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</si>
  <si>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</si>
  <si>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</si>
  <si>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</si>
  <si>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</si>
  <si>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</si>
  <si>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</si>
  <si>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</si>
  <si>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</si>
  <si>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</si>
  <si>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</si>
  <si>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</si>
  <si>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</si>
  <si>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</si>
  <si>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</si>
  <si>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</si>
  <si>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</si>
  <si>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</si>
  <si>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</si>
  <si>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</si>
  <si>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</si>
  <si>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</si>
  <si>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</si>
  <si>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</si>
  <si>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</si>
  <si>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</si>
  <si>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</si>
  <si>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</si>
  <si>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</si>
  <si>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</si>
  <si>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</si>
  <si>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</si>
  <si>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</si>
  <si>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</si>
  <si>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</si>
  <si>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</si>
  <si>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</si>
  <si>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</si>
  <si>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</si>
  <si>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</si>
  <si>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</si>
  <si>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</si>
  <si>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</si>
  <si>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</si>
  <si>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</si>
  <si>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</si>
  <si>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</si>
  <si>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</si>
  <si>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</si>
  <si>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</si>
  <si>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</si>
  <si>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</si>
  <si>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</si>
  <si>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</si>
  <si>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</si>
  <si>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</si>
  <si>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</si>
  <si>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</si>
  <si>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</si>
  <si>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</si>
  <si>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</si>
  <si>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</si>
  <si>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</si>
  <si>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</si>
  <si>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</si>
  <si>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</si>
  <si>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</si>
  <si>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</si>
  <si>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</si>
  <si>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</si>
  <si>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</si>
  <si>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</si>
  <si>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</si>
  <si>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</si>
  <si>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</si>
  <si>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</si>
  <si>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</si>
  <si>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</si>
  <si>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</si>
  <si>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</si>
  <si>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</si>
  <si>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</si>
  <si>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</si>
  <si>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</si>
  <si>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</si>
  <si>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</si>
  <si>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</si>
  <si>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</si>
  <si>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</si>
  <si>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</si>
  <si>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</si>
  <si>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</si>
  <si>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</si>
  <si>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</si>
  <si>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</si>
  <si>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</si>
  <si>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</si>
  <si>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</si>
  <si>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</si>
  <si>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</si>
  <si>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</si>
  <si>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</si>
  <si>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</si>
  <si>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</si>
  <si>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</si>
  <si>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</si>
  <si>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</si>
  <si>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</si>
  <si>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</si>
  <si>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</si>
  <si>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</si>
  <si>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</si>
  <si>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</si>
  <si>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</si>
  <si>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</si>
  <si>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</si>
  <si>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</si>
  <si>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</si>
  <si>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</si>
  <si>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</si>
  <si>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</si>
  <si>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</si>
  <si>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</si>
  <si>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</si>
  <si>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</si>
  <si>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</si>
  <si>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</si>
  <si>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</si>
  <si>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</si>
  <si>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</si>
  <si>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</si>
  <si>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</si>
  <si>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</si>
  <si>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</si>
  <si>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</si>
  <si>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</si>
  <si>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</si>
  <si>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</si>
  <si>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</si>
  <si>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</si>
  <si>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</si>
  <si>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</si>
  <si>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</si>
  <si>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</si>
  <si>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</si>
  <si>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</si>
  <si>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</si>
  <si>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</si>
  <si>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</si>
  <si>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</si>
  <si>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</si>
  <si>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</si>
  <si>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</si>
  <si>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</si>
  <si>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</si>
  <si>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</si>
  <si>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</si>
  <si>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</si>
  <si>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</si>
  <si>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</si>
  <si>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</si>
  <si>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</si>
  <si>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</si>
  <si>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</si>
  <si>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</si>
  <si>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</si>
  <si>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</si>
  <si>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</si>
  <si>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</si>
  <si>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</si>
  <si>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</si>
  <si>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</si>
  <si>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</si>
  <si>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</si>
  <si>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</si>
  <si>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</si>
  <si>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</si>
  <si>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</si>
  <si>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</si>
  <si>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</si>
  <si>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</si>
  <si>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</si>
  <si>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</si>
  <si>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</si>
  <si>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</si>
  <si>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</si>
  <si>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</si>
  <si>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</si>
  <si>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</si>
  <si>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</si>
  <si>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</si>
  <si>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</si>
  <si>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</si>
  <si>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</si>
  <si>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</si>
  <si>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</si>
  <si>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</si>
  <si>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</si>
  <si>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</si>
  <si>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</si>
  <si>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</si>
  <si>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</si>
  <si>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</si>
  <si>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</si>
  <si>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</si>
  <si>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</si>
  <si>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</si>
  <si>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</si>
  <si>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</si>
  <si>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</si>
  <si>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</si>
  <si>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</si>
  <si>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</si>
  <si>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</si>
  <si>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</si>
  <si>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</si>
  <si>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</si>
  <si>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</si>
  <si>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</si>
  <si>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</si>
  <si>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</si>
  <si>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</si>
  <si>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</si>
  <si>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</si>
  <si>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</si>
  <si>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</si>
  <si>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</si>
  <si>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</si>
  <si>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</si>
  <si>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</si>
  <si>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</si>
  <si>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</si>
  <si>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</si>
  <si>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</si>
  <si>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</si>
  <si>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</si>
  <si>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</si>
  <si>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</si>
  <si>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</si>
  <si>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</si>
  <si>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</si>
  <si>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</si>
  <si>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</si>
  <si>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</si>
  <si>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</si>
  <si>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</si>
  <si>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</si>
  <si>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</si>
  <si>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</si>
  <si>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</si>
  <si>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</si>
  <si>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</si>
  <si>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</si>
  <si>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</si>
  <si>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</si>
  <si>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</si>
  <si>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</si>
  <si>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</si>
  <si>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</si>
  <si>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</si>
  <si>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</si>
  <si>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</si>
  <si>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</si>
  <si>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</si>
  <si>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</si>
  <si>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</si>
  <si>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</si>
  <si>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</si>
  <si>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</si>
  <si>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</si>
  <si>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</si>
  <si>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</si>
  <si>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</si>
  <si>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</si>
  <si>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</si>
  <si>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</si>
  <si>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</si>
  <si>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</si>
  <si>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</si>
  <si>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</si>
  <si>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</si>
  <si>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</si>
  <si>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</si>
  <si>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</si>
  <si>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</si>
  <si>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</si>
  <si>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</si>
  <si>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</si>
  <si>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</si>
  <si>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</si>
  <si>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</si>
  <si>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</si>
  <si>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</si>
  <si>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</si>
  <si>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</si>
  <si>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</si>
  <si>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</si>
  <si>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</si>
  <si>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</si>
  <si>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</si>
  <si>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</si>
  <si>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</si>
  <si>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</si>
  <si>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</si>
  <si>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</si>
  <si>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</si>
  <si>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</si>
  <si>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</si>
  <si>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</si>
  <si>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</si>
  <si>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</si>
  <si>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</si>
  <si>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</si>
  <si>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</si>
  <si>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</si>
  <si>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</si>
  <si>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</si>
  <si>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</si>
  <si>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</si>
  <si>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</si>
  <si>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</si>
  <si>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</si>
  <si>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</si>
  <si>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</si>
  <si>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</si>
  <si>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</si>
  <si>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</si>
  <si>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</si>
  <si>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</si>
  <si>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</si>
  <si>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</si>
  <si>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</si>
  <si>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</si>
  <si>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</si>
  <si>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</si>
  <si>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</si>
  <si>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</si>
  <si>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</si>
  <si>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</si>
  <si>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</si>
  <si>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</si>
  <si>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</si>
  <si>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</si>
  <si>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</si>
  <si>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</si>
  <si>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</si>
  <si>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</si>
  <si>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</si>
  <si>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</si>
  <si>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</si>
  <si>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</si>
  <si>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</si>
  <si>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</si>
  <si>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</si>
  <si>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</si>
  <si>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</si>
  <si>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</si>
  <si>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</si>
  <si>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</si>
  <si>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</si>
  <si>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</si>
  <si>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</si>
  <si>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</si>
  <si>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</si>
  <si>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</si>
  <si>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</si>
  <si>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</si>
  <si>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</si>
  <si>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</si>
  <si>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</si>
  <si>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</si>
  <si>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</si>
  <si>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</si>
  <si>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</si>
  <si>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</si>
  <si>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</si>
  <si>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</si>
  <si>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</si>
  <si>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</si>
  <si>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</si>
  <si>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</si>
  <si>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</si>
  <si>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</si>
  <si>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</si>
  <si>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</si>
  <si>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</si>
  <si>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</si>
  <si>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</si>
  <si>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</si>
  <si>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</si>
  <si>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</si>
  <si>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</si>
  <si>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</si>
  <si>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</si>
  <si>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</si>
  <si>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</si>
  <si>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</si>
  <si>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</si>
  <si>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</si>
  <si>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</si>
  <si>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</si>
  <si>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</si>
  <si>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</si>
  <si>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</si>
  <si>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</si>
  <si>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</si>
  <si>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</si>
  <si>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</si>
  <si>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</si>
  <si>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</si>
  <si>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</si>
  <si>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</si>
  <si>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</si>
  <si>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</si>
  <si>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</si>
  <si>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</si>
  <si>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</si>
  <si>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</si>
  <si>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</si>
  <si>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</si>
  <si>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</si>
  <si>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</si>
  <si>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</si>
  <si>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</si>
  <si>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</si>
  <si>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</si>
  <si>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</si>
  <si>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</si>
  <si>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</si>
  <si>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</si>
  <si>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</si>
  <si>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</si>
  <si>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</si>
  <si>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</si>
  <si>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</si>
  <si>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</si>
  <si>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</si>
  <si>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</si>
  <si>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</si>
  <si>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</si>
  <si>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</si>
  <si>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</si>
  <si>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</si>
  <si>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</si>
  <si>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</si>
  <si>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</si>
  <si>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</si>
  <si>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</si>
  <si>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</si>
  <si>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</si>
  <si>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</si>
  <si>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</si>
  <si>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</si>
  <si>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</si>
  <si>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</si>
  <si>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</si>
  <si>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</si>
  <si>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</si>
  <si>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</si>
  <si>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</si>
  <si>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</si>
  <si>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</si>
  <si>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</si>
  <si>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</si>
  <si>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</si>
  <si>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</si>
  <si>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</si>
  <si>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</si>
  <si>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</si>
  <si>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</si>
  <si>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</si>
  <si>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</si>
  <si>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</si>
  <si>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</si>
  <si>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</si>
  <si>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</si>
  <si>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</si>
  <si>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</si>
  <si>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</si>
  <si>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</si>
  <si>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</si>
  <si>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</si>
  <si>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</si>
  <si>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</si>
  <si>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</si>
  <si>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</si>
  <si>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</si>
  <si>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</si>
  <si>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</si>
  <si>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</si>
  <si>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</si>
  <si>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</si>
  <si>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</si>
  <si>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</si>
  <si>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</si>
  <si>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</si>
  <si>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</si>
  <si>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</si>
  <si>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</si>
  <si>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</si>
  <si>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</si>
  <si>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</si>
  <si>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</si>
  <si>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</si>
  <si>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</si>
  <si>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</si>
  <si>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</si>
  <si>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</si>
  <si>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</si>
  <si>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</si>
  <si>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</si>
  <si>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</si>
  <si>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</si>
  <si>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</si>
  <si>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</si>
  <si>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</si>
  <si>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</si>
  <si>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</si>
  <si>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</si>
  <si>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</si>
  <si>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</si>
  <si>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</si>
  <si>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</si>
  <si>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</si>
  <si>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</si>
  <si>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</si>
  <si>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</si>
  <si>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</si>
  <si>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</si>
  <si>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</si>
  <si>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</si>
  <si>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</si>
  <si>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</si>
  <si>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</si>
  <si>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</si>
  <si>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</si>
  <si>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</si>
  <si>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</si>
  <si>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</si>
  <si>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</si>
  <si>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</si>
  <si>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</si>
  <si>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</si>
  <si>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</si>
  <si>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</si>
  <si>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</si>
  <si>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</si>
  <si>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</si>
  <si>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</si>
  <si>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</si>
  <si>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</si>
  <si>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</si>
  <si>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</si>
  <si>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</si>
  <si>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</si>
  <si>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</si>
  <si>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</si>
  <si>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</si>
  <si>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</si>
  <si>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</si>
  <si>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</si>
  <si>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</si>
  <si>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</si>
  <si>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</si>
  <si>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</si>
  <si>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</si>
  <si>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</si>
  <si>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</si>
  <si>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</si>
  <si>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</si>
  <si>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</si>
  <si>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</si>
  <si>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</si>
  <si>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</si>
  <si>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</si>
  <si>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</si>
  <si>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</si>
  <si>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</si>
  <si>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</si>
  <si>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</si>
  <si>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</si>
  <si>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</si>
  <si>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</si>
  <si>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</si>
  <si>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</si>
  <si>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</si>
  <si>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</si>
  <si>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</si>
  <si>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</si>
  <si>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</si>
  <si>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</si>
  <si>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</si>
  <si>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</si>
  <si>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</si>
  <si>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</si>
  <si>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</si>
  <si>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</si>
  <si>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</si>
  <si>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</si>
  <si>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</si>
  <si>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</si>
  <si>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</si>
  <si>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</si>
  <si>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</si>
  <si>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</si>
  <si>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</si>
  <si>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</si>
  <si>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</si>
  <si>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</si>
  <si>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</si>
  <si>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</si>
  <si>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</si>
  <si>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</si>
  <si>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</si>
  <si>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</si>
  <si>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</si>
  <si>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</si>
  <si>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</si>
  <si>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</si>
  <si>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</si>
  <si>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</si>
  <si>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</si>
  <si>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</si>
  <si>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</si>
  <si>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</si>
  <si>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</si>
  <si>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</si>
  <si>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</si>
  <si>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</si>
  <si>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</si>
  <si>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</si>
  <si>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</si>
  <si>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</si>
  <si>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</si>
  <si>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</si>
  <si>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</si>
  <si>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</si>
  <si>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</si>
  <si>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</si>
  <si>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</si>
  <si>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</si>
  <si>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</si>
  <si>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</si>
  <si>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</si>
  <si>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</si>
  <si>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</si>
  <si>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</si>
  <si>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</si>
  <si>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</si>
  <si>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</si>
  <si>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</si>
  <si>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</si>
  <si>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</si>
  <si>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</si>
  <si>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</si>
  <si>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</si>
  <si>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</si>
  <si>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</si>
  <si>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</si>
  <si>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</si>
  <si>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</si>
  <si>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</si>
  <si>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</si>
  <si>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</si>
  <si>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</si>
  <si>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</si>
  <si>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</si>
  <si>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</si>
  <si>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</si>
  <si>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</si>
  <si>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</si>
  <si>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</si>
  <si>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</si>
  <si>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</si>
  <si>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</si>
  <si>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</si>
  <si>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</si>
  <si>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</si>
  <si>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</si>
  <si>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</si>
  <si>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</si>
  <si>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</si>
  <si>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</si>
  <si>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</si>
  <si>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</si>
  <si>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</si>
  <si>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</si>
  <si>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</si>
  <si>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</si>
  <si>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</si>
  <si>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</si>
  <si>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</si>
  <si>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</si>
  <si>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</si>
  <si>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</si>
  <si>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</si>
  <si>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</si>
  <si>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</si>
  <si>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</si>
  <si>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</si>
  <si>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</si>
  <si>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</si>
  <si>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</si>
  <si>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</si>
  <si>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</si>
  <si>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</si>
  <si>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</si>
  <si>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</si>
  <si>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</si>
  <si>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</si>
  <si>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</si>
  <si>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</si>
  <si>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</si>
  <si>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</si>
  <si>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</si>
  <si>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</si>
  <si>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</si>
  <si>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</si>
  <si>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</si>
  <si>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</si>
  <si>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</si>
  <si>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</si>
  <si>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</si>
  <si>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</si>
  <si>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</si>
  <si>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</si>
  <si>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</si>
  <si>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</si>
  <si>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</si>
  <si>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</si>
  <si>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</si>
  <si>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</si>
  <si>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</si>
  <si>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</si>
  <si>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</si>
  <si>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</si>
  <si>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</si>
  <si>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</si>
  <si>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</si>
  <si>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</si>
  <si>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</si>
  <si>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</si>
  <si>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</si>
  <si>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</si>
  <si>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</si>
  <si>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</si>
  <si>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</si>
  <si>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</si>
  <si>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</si>
  <si>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</si>
  <si>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</si>
  <si>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</si>
  <si>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</si>
  <si>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</si>
  <si>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</si>
  <si>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</si>
  <si>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</si>
  <si>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</si>
  <si>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</si>
  <si>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</si>
  <si>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</si>
  <si>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</si>
  <si>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</si>
  <si>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</si>
  <si>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</si>
  <si>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</si>
  <si>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</si>
  <si>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</si>
  <si>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</si>
  <si>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</si>
  <si>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</si>
  <si>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</si>
  <si>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</si>
  <si>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</si>
  <si>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</si>
  <si>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</si>
  <si>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</si>
  <si>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</si>
  <si>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</si>
  <si>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</si>
  <si>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</si>
  <si>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</si>
  <si>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</si>
  <si>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</si>
  <si>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</si>
  <si>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</si>
  <si>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</si>
  <si>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</si>
  <si>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</si>
  <si>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</si>
  <si>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</si>
  <si>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</si>
  <si>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</si>
  <si>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</si>
  <si>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</si>
  <si>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</si>
  <si>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</si>
  <si>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</si>
  <si>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</si>
  <si>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</si>
  <si>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</si>
  <si>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</si>
  <si>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</si>
  <si>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</si>
  <si>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</si>
  <si>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</si>
  <si>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</si>
  <si>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</si>
  <si>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</si>
  <si>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</si>
  <si>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 xml:space="preserve">Rep </t>
  </si>
  <si>
    <t>Amount</t>
  </si>
  <si>
    <t>Calls</t>
  </si>
  <si>
    <t>Sel. Calls</t>
  </si>
  <si>
    <t>Sel. Amount</t>
  </si>
  <si>
    <t xml:space="preserve">Selected rep </t>
  </si>
  <si>
    <t>Column Labels</t>
  </si>
  <si>
    <t/>
  </si>
  <si>
    <t xml:space="preserve">//EXTRA </t>
  </si>
  <si>
    <t>Calls Centre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</si>
</sst>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5" x14ac:knownFonts="1">
    <font>
      <sz val="11"/>
      <color theme="1"/>
      <name val="Cambria"/>
      <family val="2"/>
      <scheme val="minor"/>
    </font>
    <font>
      <b/>
      <sz val="11"/>
      <color theme="1"/>
      <name val="Cambria"/>
      <family val="2"/>
      <scheme val="minor"/>
    </font>
    <font>
      <sz val="8"/>
      <name val="Cambria"/>
      <family val="2"/>
      <scheme val="minor"/>
    </font>
    <font>
      <sz val="18"/>
      <color theme="1"/>
      <name val="Aptos ExtraBold"/>
      <family val="2"/>
    </font>
    <font>
      <b/>
      <sz val="22"/>
      <color theme="1" tint="0.34998626667073579"/>
      <name val="Cambria"/>
      <family val="1"/>
      <scheme val="minor"/>
    </font>
  </fonts>
  <fills count="4">
    <fill>
      <patternFill patternType="none"/>
    </fill>
    <fill>
      <patternFill patternType="gray125"/>
    </fill>
    <fill>
      <patternFill patternType="solid">
        <fgColor theme="7"/>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2" borderId="0" xfId="0" applyFill="1" applyAlignment="1">
      <alignment horizontal="left"/>
    </xf>
    <xf numFmtId="0" fontId="0" fillId="0" borderId="0" xfId="0" applyAlignment="1">
      <alignment horizontal="left" indent="1"/>
    </xf>
    <xf numFmtId="0" fontId="0" fillId="3" borderId="0" xfId="0" applyFill="1" applyAlignment="1">
      <alignment horizontal="center"/>
    </xf>
    <xf numFmtId="168" fontId="0" fillId="3" borderId="0" xfId="0" applyNumberFormat="1" applyFill="1"/>
    <xf numFmtId="0" fontId="4" fillId="3" borderId="0" xfId="0" applyFont="1" applyFill="1" applyAlignment="1">
      <alignment horizontal="center"/>
    </xf>
  </cellXfs>
  <cellStyles count="1">
    <cellStyle name="Normal" xfId="0" builtinId="0"/>
  </cellStyles>
  <dxfs count="35">
    <dxf>
      <fill>
        <patternFill patternType="solid">
          <bgColor theme="8"/>
        </patternFill>
      </fill>
    </dxf>
    <dxf>
      <fill>
        <patternFill>
          <bgColor theme="7"/>
        </patternFill>
      </fill>
    </dxf>
    <dxf>
      <fill>
        <patternFill patternType="solid">
          <bgColor theme="8"/>
        </patternFill>
      </fill>
    </dxf>
    <dxf>
      <fill>
        <patternFill>
          <bgColor theme="7"/>
        </patternFill>
      </fill>
    </dxf>
    <dxf>
      <fill>
        <patternFill patternType="solid">
          <bgColor theme="8"/>
        </patternFill>
      </fill>
    </dxf>
    <dxf>
      <fill>
        <patternFill>
          <bgColor theme="7"/>
        </patternFill>
      </fill>
    </dxf>
    <dxf>
      <fill>
        <patternFill patternType="solid">
          <bgColor theme="8"/>
        </patternFill>
      </fill>
    </dxf>
    <dxf>
      <fill>
        <patternFill>
          <bgColor theme="7"/>
        </patternFill>
      </fill>
    </dxf>
    <dxf>
      <fill>
        <patternFill patternType="solid">
          <bgColor theme="8"/>
        </patternFill>
      </fill>
    </dxf>
    <dxf>
      <fill>
        <patternFill>
          <bgColor theme="7"/>
        </patternFill>
      </fill>
    </dxf>
    <dxf>
      <fill>
        <patternFill patternType="solid">
          <bgColor theme="8"/>
        </patternFill>
      </fill>
    </dxf>
    <dxf>
      <fill>
        <patternFill>
          <bgColor theme="7"/>
        </patternFill>
      </fill>
    </dxf>
    <dxf>
      <fill>
        <patternFill patternType="solid">
          <bgColor theme="8"/>
        </patternFill>
      </fill>
    </dxf>
    <dxf>
      <fill>
        <patternFill>
          <bgColor theme="7"/>
        </patternFill>
      </fill>
    </dxf>
    <dxf>
      <fill>
        <patternFill patternType="solid">
          <bgColor theme="8"/>
        </patternFill>
      </fill>
    </dxf>
    <dxf>
      <fill>
        <patternFill>
          <bgColor theme="7"/>
        </patternFill>
      </fill>
    </dxf>
    <dxf>
      <fill>
        <patternFill>
          <bgColor theme="5" tint="0.59996337778862885"/>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theme="5" tint="0.59996337778862885"/>
        </patternFill>
      </fill>
      <border>
        <left style="thin">
          <color auto="1"/>
        </left>
        <right style="thin">
          <color auto="1"/>
        </right>
        <top style="thin">
          <color auto="1"/>
        </top>
        <bottom style="thin">
          <color auto="1"/>
        </bottom>
        <vertical/>
        <horizontal/>
      </border>
    </dxf>
    <dxf>
      <fill>
        <patternFill>
          <bgColor theme="7"/>
        </patternFill>
      </fill>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mbria"/>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34"/>
    </tableStyle>
  </tableStyles>
  <colors>
    <mruColors>
      <color rgb="FFE648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Structure" Target="richData/rdrichvaluestructure.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22/10/relationships/richValueRel" Target="richData/richValueRel.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project.xlsx]Pivots!Weekly Trend </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Pivots!$H$14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Pivots!$G$15:$G$22</c:f>
              <c:strCache>
                <c:ptCount val="7"/>
                <c:pt idx="0">
                  <c:v>Monday</c:v>
                </c:pt>
                <c:pt idx="1">
                  <c:v>Tuesday</c:v>
                </c:pt>
                <c:pt idx="2">
                  <c:v>Wednesday</c:v>
                </c:pt>
                <c:pt idx="3">
                  <c:v>Thursday</c:v>
                </c:pt>
                <c:pt idx="4">
                  <c:v>Friday</c:v>
                </c:pt>
                <c:pt idx="5">
                  <c:v>Saturday</c:v>
                </c:pt>
                <c:pt idx="6">
                  <c:v>Sunday</c:v>
                </c:pt>
              </c:strCache>
            </c:strRef>
          </c:cat>
          <c:val>
            <c:numRef>
              <c:f>Pivots!$H$15:$H$22</c:f>
              <c:numCache>
                <c:formatCode>#,##0</c:formatCode>
                <c:ptCount val="7"/>
                <c:pt idx="0">
                  <c:v>86</c:v>
                </c:pt>
                <c:pt idx="1">
                  <c:v>66</c:v>
                </c:pt>
                <c:pt idx="2">
                  <c:v>88</c:v>
                </c:pt>
                <c:pt idx="3">
                  <c:v>77</c:v>
                </c:pt>
                <c:pt idx="4">
                  <c:v>83</c:v>
                </c:pt>
                <c:pt idx="5">
                  <c:v>103</c:v>
                </c:pt>
                <c:pt idx="6">
                  <c:v>93</c:v>
                </c:pt>
              </c:numCache>
            </c:numRef>
          </c:val>
          <c:extLst>
            <c:ext xmlns:c16="http://schemas.microsoft.com/office/drawing/2014/chart" uri="{C3380CC4-5D6E-409C-BE32-E72D297353CC}">
              <c16:uniqueId val="{00000000-B2B8-48FD-9EA6-294F9096CC92}"/>
            </c:ext>
          </c:extLst>
        </c:ser>
        <c:dLbls>
          <c:showLegendKey val="0"/>
          <c:showVal val="0"/>
          <c:showCatName val="0"/>
          <c:showSerName val="0"/>
          <c:showPercent val="0"/>
          <c:showBubbleSize val="0"/>
        </c:dLbls>
        <c:gapWidth val="40"/>
        <c:axId val="680379775"/>
        <c:axId val="680363455"/>
      </c:barChart>
      <c:catAx>
        <c:axId val="680379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363455"/>
        <c:crosses val="autoZero"/>
        <c:auto val="1"/>
        <c:lblAlgn val="ctr"/>
        <c:lblOffset val="100"/>
        <c:noMultiLvlLbl val="0"/>
      </c:catAx>
      <c:valAx>
        <c:axId val="68036345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379775"/>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project.xlsx]Pivots!Monthly trend</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accent5"/>
                </a:solidFill>
              </a:rPr>
              <a:t>Call</a:t>
            </a:r>
            <a:r>
              <a:rPr lang="en-IN" sz="1400" b="1" baseline="0">
                <a:solidFill>
                  <a:schemeClr val="accent5"/>
                </a:solidFill>
              </a:rPr>
              <a:t> Trend</a:t>
            </a:r>
            <a:endParaRPr lang="en-IN" b="1">
              <a:solidFill>
                <a:schemeClr val="accent5"/>
              </a:solidFill>
            </a:endParaRPr>
          </a:p>
        </c:rich>
      </c:tx>
      <c:layout>
        <c:manualLayout>
          <c:xMode val="edge"/>
          <c:yMode val="edge"/>
          <c:x val="2.3046092184368757E-2"/>
          <c:y val="4.22705314009661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9000">
                <a:schemeClr val="accent5">
                  <a:lumMod val="40000"/>
                  <a:lumOff val="60000"/>
                  <a:alpha val="70000"/>
                </a:schemeClr>
              </a:gs>
              <a:gs pos="65000">
                <a:srgbClr val="E64823"/>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solidFill>
            <a:round/>
          </a:ln>
          <a:effectLst/>
        </c:spPr>
        <c:marker>
          <c:symbol val="circle"/>
          <c:size val="6"/>
          <c:spPr>
            <a:solidFill>
              <a:schemeClr val="bg1"/>
            </a:solidFill>
            <a:ln w="222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Pivots!$C$14</c:f>
              <c:strCache>
                <c:ptCount val="1"/>
                <c:pt idx="0">
                  <c:v>Call Count2</c:v>
                </c:pt>
              </c:strCache>
            </c:strRef>
          </c:tx>
          <c:spPr>
            <a:gradFill flip="none" rotWithShape="1">
              <a:gsLst>
                <a:gs pos="9000">
                  <a:schemeClr val="accent5">
                    <a:lumMod val="40000"/>
                    <a:lumOff val="60000"/>
                    <a:alpha val="70000"/>
                  </a:schemeClr>
                </a:gs>
                <a:gs pos="65000">
                  <a:srgbClr val="E64823"/>
                </a:gs>
              </a:gsLst>
              <a:lin ang="16200000" scaled="1"/>
              <a:tileRect/>
            </a:gradFill>
            <a:ln>
              <a:noFill/>
            </a:ln>
            <a:effectLst/>
          </c:spP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Pivots!$C$15:$C$27</c:f>
              <c:numCache>
                <c:formatCode>#,##0</c:formatCode>
                <c:ptCount val="12"/>
                <c:pt idx="0">
                  <c:v>50</c:v>
                </c:pt>
                <c:pt idx="1">
                  <c:v>45</c:v>
                </c:pt>
                <c:pt idx="2">
                  <c:v>85</c:v>
                </c:pt>
                <c:pt idx="3">
                  <c:v>73</c:v>
                </c:pt>
                <c:pt idx="4">
                  <c:v>48</c:v>
                </c:pt>
                <c:pt idx="5">
                  <c:v>44</c:v>
                </c:pt>
                <c:pt idx="6">
                  <c:v>38</c:v>
                </c:pt>
                <c:pt idx="7">
                  <c:v>25</c:v>
                </c:pt>
                <c:pt idx="8">
                  <c:v>45</c:v>
                </c:pt>
                <c:pt idx="9">
                  <c:v>78</c:v>
                </c:pt>
                <c:pt idx="10">
                  <c:v>35</c:v>
                </c:pt>
                <c:pt idx="11">
                  <c:v>30</c:v>
                </c:pt>
              </c:numCache>
            </c:numRef>
          </c:val>
          <c:extLst>
            <c:ext xmlns:c16="http://schemas.microsoft.com/office/drawing/2014/chart" uri="{C3380CC4-5D6E-409C-BE32-E72D297353CC}">
              <c16:uniqueId val="{00000000-305C-4E0C-9375-24CFFA8C2239}"/>
            </c:ext>
          </c:extLst>
        </c:ser>
        <c:dLbls>
          <c:showLegendKey val="0"/>
          <c:showVal val="0"/>
          <c:showCatName val="0"/>
          <c:showSerName val="0"/>
          <c:showPercent val="0"/>
          <c:showBubbleSize val="0"/>
        </c:dLbls>
        <c:axId val="17776319"/>
        <c:axId val="17775359"/>
      </c:areaChart>
      <c:lineChart>
        <c:grouping val="standard"/>
        <c:varyColors val="0"/>
        <c:ser>
          <c:idx val="0"/>
          <c:order val="0"/>
          <c:tx>
            <c:strRef>
              <c:f>Pivots!$B$14</c:f>
              <c:strCache>
                <c:ptCount val="1"/>
                <c:pt idx="0">
                  <c:v>Call Count</c:v>
                </c:pt>
              </c:strCache>
            </c:strRef>
          </c:tx>
          <c:spPr>
            <a:ln w="28575" cap="rnd">
              <a:solidFill>
                <a:schemeClr val="accent5"/>
              </a:solidFill>
              <a:round/>
            </a:ln>
            <a:effectLst/>
          </c:spPr>
          <c:marker>
            <c:symbol val="circle"/>
            <c:size val="6"/>
            <c:spPr>
              <a:solidFill>
                <a:schemeClr val="bg1"/>
              </a:solidFill>
              <a:ln w="22225">
                <a:solidFill>
                  <a:schemeClr val="tx1"/>
                </a:solidFill>
              </a:ln>
              <a:effectLst/>
            </c:spPr>
          </c:marke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Pivots!$B$15:$B$27</c:f>
              <c:numCache>
                <c:formatCode>#,##0</c:formatCode>
                <c:ptCount val="12"/>
                <c:pt idx="0">
                  <c:v>50</c:v>
                </c:pt>
                <c:pt idx="1">
                  <c:v>45</c:v>
                </c:pt>
                <c:pt idx="2">
                  <c:v>85</c:v>
                </c:pt>
                <c:pt idx="3">
                  <c:v>73</c:v>
                </c:pt>
                <c:pt idx="4">
                  <c:v>48</c:v>
                </c:pt>
                <c:pt idx="5">
                  <c:v>44</c:v>
                </c:pt>
                <c:pt idx="6">
                  <c:v>38</c:v>
                </c:pt>
                <c:pt idx="7">
                  <c:v>25</c:v>
                </c:pt>
                <c:pt idx="8">
                  <c:v>45</c:v>
                </c:pt>
                <c:pt idx="9">
                  <c:v>78</c:v>
                </c:pt>
                <c:pt idx="10">
                  <c:v>35</c:v>
                </c:pt>
                <c:pt idx="11">
                  <c:v>30</c:v>
                </c:pt>
              </c:numCache>
            </c:numRef>
          </c:val>
          <c:smooth val="0"/>
          <c:extLst>
            <c:ext xmlns:c16="http://schemas.microsoft.com/office/drawing/2014/chart" uri="{C3380CC4-5D6E-409C-BE32-E72D297353CC}">
              <c16:uniqueId val="{00000001-305C-4E0C-9375-24CFFA8C2239}"/>
            </c:ext>
          </c:extLst>
        </c:ser>
        <c:dLbls>
          <c:showLegendKey val="0"/>
          <c:showVal val="0"/>
          <c:showCatName val="0"/>
          <c:showSerName val="0"/>
          <c:showPercent val="0"/>
          <c:showBubbleSize val="0"/>
        </c:dLbls>
        <c:marker val="1"/>
        <c:smooth val="0"/>
        <c:axId val="17776319"/>
        <c:axId val="17775359"/>
      </c:lineChart>
      <c:catAx>
        <c:axId val="1777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5359"/>
        <c:crosses val="autoZero"/>
        <c:auto val="1"/>
        <c:lblAlgn val="ctr"/>
        <c:lblOffset val="100"/>
        <c:noMultiLvlLbl val="0"/>
      </c:catAx>
      <c:valAx>
        <c:axId val="17775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solidFill>
                  <a:schemeClr val="accent4"/>
                </a:solidFill>
              </a:rPr>
              <a:t>Calls</a:t>
            </a:r>
          </a:p>
        </c:rich>
      </c:tx>
      <c:layout>
        <c:manualLayout>
          <c:xMode val="edge"/>
          <c:yMode val="edge"/>
          <c:x val="4.8544916715483243E-2"/>
          <c:y val="2.327810028706602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Pivots!$F$32:$F$36</c:f>
              <c:strCache>
                <c:ptCount val="5"/>
                <c:pt idx="0">
                  <c:v>R01</c:v>
                </c:pt>
                <c:pt idx="1">
                  <c:v>R02</c:v>
                </c:pt>
                <c:pt idx="2">
                  <c:v>R03</c:v>
                </c:pt>
                <c:pt idx="3">
                  <c:v>R04</c:v>
                </c:pt>
                <c:pt idx="4">
                  <c:v>R05</c:v>
                </c:pt>
              </c:strCache>
            </c:strRef>
          </c:cat>
          <c:val>
            <c:numRef>
              <c:f>Pivots!$G$32:$G$36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B72-49E9-BFC1-673D0C2D7FC5}"/>
            </c:ext>
          </c:extLst>
        </c:ser>
        <c:ser>
          <c:idx val="1"/>
          <c:order val="1"/>
          <c:tx>
            <c:strRef>
              <c:f>Pivots!$I$31</c:f>
              <c:strCache>
                <c:ptCount val="1"/>
                <c:pt idx="0">
                  <c:v>Sel. Calls</c:v>
                </c:pt>
              </c:strCache>
            </c:strRef>
          </c:tx>
          <c:spPr>
            <a:gradFill flip="none" rotWithShape="1">
              <a:gsLst>
                <a:gs pos="0">
                  <a:schemeClr val="accent5">
                    <a:lumMod val="40000"/>
                    <a:lumOff val="60000"/>
                    <a:alpha val="70000"/>
                  </a:schemeClr>
                </a:gs>
                <a:gs pos="86000">
                  <a:schemeClr val="accent4"/>
                </a:gs>
              </a:gsLst>
              <a:lin ang="0" scaled="1"/>
              <a:tileRect/>
            </a:gradFill>
            <a:ln>
              <a:noFill/>
            </a:ln>
            <a:effectLst/>
          </c:spPr>
          <c:invertIfNegative val="0"/>
          <c:val>
            <c:numRef>
              <c:f>Pivots!$I$32:$I$36</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6B72-49E9-BFC1-673D0C2D7FC5}"/>
            </c:ext>
          </c:extLst>
        </c:ser>
        <c:dLbls>
          <c:showLegendKey val="0"/>
          <c:showVal val="0"/>
          <c:showCatName val="0"/>
          <c:showSerName val="0"/>
          <c:showPercent val="0"/>
          <c:showBubbleSize val="0"/>
        </c:dLbls>
        <c:gapWidth val="50"/>
        <c:overlap val="100"/>
        <c:axId val="17799839"/>
        <c:axId val="17818559"/>
      </c:barChart>
      <c:catAx>
        <c:axId val="177998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559"/>
        <c:crosses val="autoZero"/>
        <c:auto val="1"/>
        <c:lblAlgn val="ctr"/>
        <c:lblOffset val="100"/>
        <c:noMultiLvlLbl val="0"/>
      </c:catAx>
      <c:valAx>
        <c:axId val="17818559"/>
        <c:scaling>
          <c:orientation val="minMax"/>
          <c:min val="0"/>
        </c:scaling>
        <c:delete val="1"/>
        <c:axPos val="t"/>
        <c:numFmt formatCode="General" sourceLinked="1"/>
        <c:majorTickMark val="none"/>
        <c:minorTickMark val="none"/>
        <c:tickLblPos val="nextTo"/>
        <c:crossAx val="1779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accent5"/>
                </a:solidFill>
              </a:rPr>
              <a:t>Amount</a:t>
            </a:r>
          </a:p>
        </c:rich>
      </c:tx>
      <c:layout>
        <c:manualLayout>
          <c:xMode val="edge"/>
          <c:yMode val="edge"/>
          <c:x val="4.0474209805253139E-2"/>
          <c:y val="2.34226879163521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Pivots!$F$32:$F$36</c:f>
              <c:strCache>
                <c:ptCount val="5"/>
                <c:pt idx="0">
                  <c:v>R01</c:v>
                </c:pt>
                <c:pt idx="1">
                  <c:v>R02</c:v>
                </c:pt>
                <c:pt idx="2">
                  <c:v>R03</c:v>
                </c:pt>
                <c:pt idx="3">
                  <c:v>R04</c:v>
                </c:pt>
                <c:pt idx="4">
                  <c:v>R05</c:v>
                </c:pt>
              </c:strCache>
            </c:strRef>
          </c:cat>
          <c:val>
            <c:numRef>
              <c:f>Pivots!$H$32:$H$36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0DAF-42FD-94BB-E03969C614B7}"/>
            </c:ext>
          </c:extLst>
        </c:ser>
        <c:ser>
          <c:idx val="1"/>
          <c:order val="1"/>
          <c:tx>
            <c:strRef>
              <c:f>Pivots!$J$31</c:f>
              <c:strCache>
                <c:ptCount val="1"/>
                <c:pt idx="0">
                  <c:v>Sel. Amount</c:v>
                </c:pt>
              </c:strCache>
            </c:strRef>
          </c:tx>
          <c:spPr>
            <a:gradFill flip="none" rotWithShape="1">
              <a:gsLst>
                <a:gs pos="100000">
                  <a:schemeClr val="accent4">
                    <a:lumMod val="75000"/>
                  </a:schemeClr>
                </a:gs>
                <a:gs pos="28000">
                  <a:schemeClr val="accent4">
                    <a:lumMod val="60000"/>
                    <a:lumOff val="40000"/>
                  </a:schemeClr>
                </a:gs>
              </a:gsLst>
              <a:lin ang="0" scaled="1"/>
              <a:tileRect/>
            </a:gradFill>
            <a:ln>
              <a:noFill/>
            </a:ln>
            <a:effectLst/>
          </c:spPr>
          <c:invertIfNegative val="0"/>
          <c:val>
            <c:numRef>
              <c:f>Pivots!$J$32:$J$36</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0DAF-42FD-94BB-E03969C614B7}"/>
            </c:ext>
          </c:extLst>
        </c:ser>
        <c:dLbls>
          <c:showLegendKey val="0"/>
          <c:showVal val="0"/>
          <c:showCatName val="0"/>
          <c:showSerName val="0"/>
          <c:showPercent val="0"/>
          <c:showBubbleSize val="0"/>
        </c:dLbls>
        <c:gapWidth val="50"/>
        <c:overlap val="100"/>
        <c:axId val="17799839"/>
        <c:axId val="17818559"/>
      </c:barChart>
      <c:catAx>
        <c:axId val="177998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559"/>
        <c:crosses val="autoZero"/>
        <c:auto val="1"/>
        <c:lblAlgn val="ctr"/>
        <c:lblOffset val="100"/>
        <c:noMultiLvlLbl val="0"/>
      </c:catAx>
      <c:valAx>
        <c:axId val="17818559"/>
        <c:scaling>
          <c:orientation val="minMax"/>
        </c:scaling>
        <c:delete val="1"/>
        <c:axPos val="t"/>
        <c:numFmt formatCode="\$#,###.0,&quot;k&quot;" sourceLinked="1"/>
        <c:majorTickMark val="none"/>
        <c:minorTickMark val="none"/>
        <c:tickLblPos val="nextTo"/>
        <c:crossAx val="1779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solidFill>
              </a:rPr>
              <a:t>Female</a:t>
            </a:r>
            <a:r>
              <a:rPr lang="en-IN" baseline="0"/>
              <a:t> </a:t>
            </a:r>
            <a:r>
              <a:rPr lang="en-IN" b="1" baseline="0"/>
              <a:t>vs </a:t>
            </a:r>
            <a:r>
              <a:rPr lang="en-IN" b="1" baseline="0">
                <a:solidFill>
                  <a:schemeClr val="accent4"/>
                </a:solidFill>
              </a:rPr>
              <a:t>Male</a:t>
            </a:r>
            <a:r>
              <a:rPr lang="en-IN" b="1" baseline="0"/>
              <a:t> Callers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noFill/>
          </a:ln>
          <a:effectLst/>
        </c:spPr>
        <c:marker>
          <c:symbol val="none"/>
        </c:marker>
        <c:dLbl>
          <c:idx val="0"/>
          <c:spPr>
            <a:solidFill>
              <a:schemeClr val="accent5">
                <a:lumMod val="40000"/>
                <a:lumOff val="60000"/>
                <a:alpha val="4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Pivots!$B$52:$B$53</c:f>
              <c:strCache>
                <c:ptCount val="1"/>
                <c:pt idx="0">
                  <c:v>Female</c:v>
                </c:pt>
              </c:strCache>
            </c:strRef>
          </c:tx>
          <c:spPr>
            <a:solidFill>
              <a:schemeClr val="accent1"/>
            </a:solidFill>
            <a:ln>
              <a:noFill/>
            </a:ln>
            <a:effectLst/>
          </c:spPr>
          <c:invertIfNegative val="0"/>
          <c:dLbls>
            <c:spPr>
              <a:solidFill>
                <a:schemeClr val="accent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Pivots!$A$54:$A$57</c:f>
              <c:strCache>
                <c:ptCount val="3"/>
                <c:pt idx="0">
                  <c:v>Cincinnati</c:v>
                </c:pt>
                <c:pt idx="1">
                  <c:v>Cleveland</c:v>
                </c:pt>
                <c:pt idx="2">
                  <c:v>Columbus</c:v>
                </c:pt>
              </c:strCache>
            </c:strRef>
          </c:cat>
          <c:val>
            <c:numRef>
              <c:f>Pivots!$B$54:$B$57</c:f>
              <c:numCache>
                <c:formatCode>#,##0</c:formatCode>
                <c:ptCount val="3"/>
                <c:pt idx="0">
                  <c:v>144</c:v>
                </c:pt>
                <c:pt idx="1">
                  <c:v>326</c:v>
                </c:pt>
                <c:pt idx="2">
                  <c:v>129</c:v>
                </c:pt>
              </c:numCache>
            </c:numRef>
          </c:val>
          <c:extLst>
            <c:ext xmlns:c16="http://schemas.microsoft.com/office/drawing/2014/chart" uri="{C3380CC4-5D6E-409C-BE32-E72D297353CC}">
              <c16:uniqueId val="{00000000-9FDF-4364-94B9-C734887DF3EA}"/>
            </c:ext>
          </c:extLst>
        </c:ser>
        <c:ser>
          <c:idx val="1"/>
          <c:order val="1"/>
          <c:tx>
            <c:strRef>
              <c:f>Pivots!$C$52:$C$53</c:f>
              <c:strCache>
                <c:ptCount val="1"/>
                <c:pt idx="0">
                  <c:v>Male</c:v>
                </c:pt>
              </c:strCache>
            </c:strRef>
          </c:tx>
          <c:spPr>
            <a:solidFill>
              <a:schemeClr val="accent2"/>
            </a:solidFill>
            <a:ln>
              <a:noFill/>
            </a:ln>
            <a:effectLst/>
          </c:spPr>
          <c:invertIfNegative val="0"/>
          <c:dLbls>
            <c:spPr>
              <a:solidFill>
                <a:schemeClr val="accent5">
                  <a:lumMod val="40000"/>
                  <a:lumOff val="60000"/>
                  <a:alpha val="4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Pivots!$A$54:$A$57</c:f>
              <c:strCache>
                <c:ptCount val="3"/>
                <c:pt idx="0">
                  <c:v>Cincinnati</c:v>
                </c:pt>
                <c:pt idx="1">
                  <c:v>Cleveland</c:v>
                </c:pt>
                <c:pt idx="2">
                  <c:v>Columbus</c:v>
                </c:pt>
              </c:strCache>
            </c:strRef>
          </c:cat>
          <c:val>
            <c:numRef>
              <c:f>Pivots!$C$54:$C$57</c:f>
              <c:numCache>
                <c:formatCode>#,##0</c:formatCode>
                <c:ptCount val="3"/>
                <c:pt idx="0">
                  <c:v>132</c:v>
                </c:pt>
                <c:pt idx="1">
                  <c:v>63</c:v>
                </c:pt>
                <c:pt idx="2">
                  <c:v>206</c:v>
                </c:pt>
              </c:numCache>
            </c:numRef>
          </c:val>
          <c:extLst>
            <c:ext xmlns:c16="http://schemas.microsoft.com/office/drawing/2014/chart" uri="{C3380CC4-5D6E-409C-BE32-E72D297353CC}">
              <c16:uniqueId val="{00000001-9FDF-4364-94B9-C734887DF3EA}"/>
            </c:ext>
          </c:extLst>
        </c:ser>
        <c:dLbls>
          <c:showLegendKey val="0"/>
          <c:showVal val="0"/>
          <c:showCatName val="0"/>
          <c:showSerName val="0"/>
          <c:showPercent val="0"/>
          <c:showBubbleSize val="0"/>
        </c:dLbls>
        <c:gapWidth val="50"/>
        <c:overlap val="100"/>
        <c:axId val="778422223"/>
        <c:axId val="778406863"/>
      </c:barChart>
      <c:catAx>
        <c:axId val="778422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406863"/>
        <c:crosses val="autoZero"/>
        <c:auto val="1"/>
        <c:lblAlgn val="ctr"/>
        <c:lblOffset val="100"/>
        <c:noMultiLvlLbl val="0"/>
      </c:catAx>
      <c:valAx>
        <c:axId val="778406863"/>
        <c:scaling>
          <c:orientation val="minMax"/>
        </c:scaling>
        <c:delete val="1"/>
        <c:axPos val="l"/>
        <c:numFmt formatCode="0%" sourceLinked="1"/>
        <c:majorTickMark val="out"/>
        <c:minorTickMark val="none"/>
        <c:tickLblPos val="nextTo"/>
        <c:crossAx val="77842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project.xlsx]Pivots!rep satisfaction</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4">
                    <a:lumMod val="75000"/>
                  </a:schemeClr>
                </a:solidFill>
              </a:rPr>
              <a:t>Rating</a:t>
            </a:r>
            <a:endParaRPr lang="en-IN" b="1">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alpha val="7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Pivots!$I$52</c:f>
              <c:strCache>
                <c:ptCount val="1"/>
                <c:pt idx="0">
                  <c:v>Total</c:v>
                </c:pt>
              </c:strCache>
            </c:strRef>
          </c:tx>
          <c:spPr>
            <a:solidFill>
              <a:schemeClr val="accent4">
                <a:alpha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Pivots!$H$53:$H$59</c:f>
              <c:strCache>
                <c:ptCount val="6"/>
                <c:pt idx="0">
                  <c:v>0</c:v>
                </c:pt>
                <c:pt idx="1">
                  <c:v>1</c:v>
                </c:pt>
                <c:pt idx="2">
                  <c:v>2</c:v>
                </c:pt>
                <c:pt idx="3">
                  <c:v>3</c:v>
                </c:pt>
                <c:pt idx="4">
                  <c:v>4</c:v>
                </c:pt>
                <c:pt idx="5">
                  <c:v>5</c:v>
                </c:pt>
              </c:strCache>
            </c:strRef>
          </c:cat>
          <c:val>
            <c:numRef>
              <c:f>Pivots!$I$53:$I$59</c:f>
              <c:numCache>
                <c:formatCode>#,##0</c:formatCode>
                <c:ptCount val="6"/>
                <c:pt idx="0">
                  <c:v>1</c:v>
                </c:pt>
                <c:pt idx="1">
                  <c:v>2</c:v>
                </c:pt>
                <c:pt idx="2">
                  <c:v>30</c:v>
                </c:pt>
                <c:pt idx="3">
                  <c:v>121</c:v>
                </c:pt>
                <c:pt idx="4">
                  <c:v>271</c:v>
                </c:pt>
                <c:pt idx="5">
                  <c:v>171</c:v>
                </c:pt>
              </c:numCache>
            </c:numRef>
          </c:val>
          <c:extLst>
            <c:ext xmlns:c16="http://schemas.microsoft.com/office/drawing/2014/chart" uri="{C3380CC4-5D6E-409C-BE32-E72D297353CC}">
              <c16:uniqueId val="{00000000-0746-44CF-A636-4851A329C506}"/>
            </c:ext>
          </c:extLst>
        </c:ser>
        <c:dLbls>
          <c:showLegendKey val="0"/>
          <c:showVal val="0"/>
          <c:showCatName val="0"/>
          <c:showSerName val="0"/>
          <c:showPercent val="0"/>
          <c:showBubbleSize val="0"/>
        </c:dLbls>
        <c:gapWidth val="45"/>
        <c:overlap val="-27"/>
        <c:axId val="768249231"/>
        <c:axId val="132266655"/>
      </c:barChart>
      <c:catAx>
        <c:axId val="76824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66655"/>
        <c:crosses val="autoZero"/>
        <c:auto val="1"/>
        <c:lblAlgn val="ctr"/>
        <c:lblOffset val="100"/>
        <c:noMultiLvlLbl val="0"/>
      </c:catAx>
      <c:valAx>
        <c:axId val="1322666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24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160020</xdr:rowOff>
    </xdr:from>
    <xdr:to>
      <xdr:col>3</xdr:col>
      <xdr:colOff>632460</xdr:colOff>
      <xdr:row>8</xdr:row>
      <xdr:rowOff>144780</xdr:rowOff>
    </xdr:to>
    <xdr:sp macro="" textlink="Pivots!A4">
      <xdr:nvSpPr>
        <xdr:cNvPr id="2" name="Rectangle 1">
          <a:extLst>
            <a:ext uri="{FF2B5EF4-FFF2-40B4-BE49-F238E27FC236}">
              <a16:creationId xmlns:a16="http://schemas.microsoft.com/office/drawing/2014/main" id="{22A1E448-0B76-0FAA-E23C-53558DBCA30B}"/>
            </a:ext>
          </a:extLst>
        </xdr:cNvPr>
        <xdr:cNvSpPr/>
      </xdr:nvSpPr>
      <xdr:spPr>
        <a:xfrm>
          <a:off x="609600" y="685800"/>
          <a:ext cx="1303020" cy="861060"/>
        </a:xfrm>
        <a:prstGeom prst="rect">
          <a:avLst/>
        </a:prstGeom>
        <a:solidFill>
          <a:schemeClr val="accent5"/>
        </a:solidFill>
        <a:ln>
          <a:noFill/>
        </a:ln>
        <a:effectLst>
          <a:outerShdw blurRad="254000" dist="127000" algn="l" rotWithShape="0">
            <a:prstClr val="black">
              <a:alpha val="5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FFBE1935-314D-4B10-A90B-AF4FB0FAB731}" type="TxLink">
            <a:rPr lang="en-US" sz="1600" b="0" i="0" u="none" strike="noStrike">
              <a:ln>
                <a:solidFill>
                  <a:schemeClr val="bg1"/>
                </a:solidFill>
              </a:ln>
              <a:solidFill>
                <a:schemeClr val="bg1"/>
              </a:solidFill>
              <a:latin typeface="Cambria "/>
              <a:ea typeface="Cambria"/>
            </a:rPr>
            <a:pPr algn="ctr"/>
            <a:t>1,000</a:t>
          </a:fld>
          <a:endParaRPr lang="en-IN" sz="1600">
            <a:ln>
              <a:solidFill>
                <a:schemeClr val="bg1"/>
              </a:solidFill>
            </a:ln>
            <a:solidFill>
              <a:schemeClr val="bg1"/>
            </a:solidFill>
            <a:latin typeface="Cambria "/>
          </a:endParaRPr>
        </a:p>
      </xdr:txBody>
    </xdr:sp>
    <xdr:clientData/>
  </xdr:twoCellAnchor>
  <xdr:twoCellAnchor>
    <xdr:from>
      <xdr:col>2</xdr:col>
      <xdr:colOff>205740</xdr:colOff>
      <xdr:row>4</xdr:row>
      <xdr:rowOff>7620</xdr:rowOff>
    </xdr:from>
    <xdr:to>
      <xdr:col>3</xdr:col>
      <xdr:colOff>426720</xdr:colOff>
      <xdr:row>5</xdr:row>
      <xdr:rowOff>91440</xdr:rowOff>
    </xdr:to>
    <xdr:sp macro="" textlink="">
      <xdr:nvSpPr>
        <xdr:cNvPr id="3" name="TextBox 2">
          <a:extLst>
            <a:ext uri="{FF2B5EF4-FFF2-40B4-BE49-F238E27FC236}">
              <a16:creationId xmlns:a16="http://schemas.microsoft.com/office/drawing/2014/main" id="{A78374AF-912D-11B1-435D-E2A15DC58640}"/>
            </a:ext>
          </a:extLst>
        </xdr:cNvPr>
        <xdr:cNvSpPr txBox="1"/>
      </xdr:nvSpPr>
      <xdr:spPr>
        <a:xfrm>
          <a:off x="838200" y="708660"/>
          <a:ext cx="8915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mj-lt"/>
            </a:rPr>
            <a:t>Calls</a:t>
          </a:r>
        </a:p>
      </xdr:txBody>
    </xdr:sp>
    <xdr:clientData/>
  </xdr:twoCellAnchor>
  <xdr:twoCellAnchor editAs="oneCell">
    <xdr:from>
      <xdr:col>2</xdr:col>
      <xdr:colOff>15253</xdr:colOff>
      <xdr:row>4</xdr:row>
      <xdr:rowOff>47765</xdr:rowOff>
    </xdr:from>
    <xdr:to>
      <xdr:col>2</xdr:col>
      <xdr:colOff>254027</xdr:colOff>
      <xdr:row>5</xdr:row>
      <xdr:rowOff>105487</xdr:rowOff>
    </xdr:to>
    <xdr:pic>
      <xdr:nvPicPr>
        <xdr:cNvPr id="4" name="Graphic 3" descr="Receiver with solid fill">
          <a:extLst>
            <a:ext uri="{FF2B5EF4-FFF2-40B4-BE49-F238E27FC236}">
              <a16:creationId xmlns:a16="http://schemas.microsoft.com/office/drawing/2014/main" id="{123F1764-7F57-48CF-9710-BDEC38B2A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581543">
          <a:off x="624853" y="748805"/>
          <a:ext cx="238774" cy="232981"/>
        </a:xfrm>
        <a:prstGeom prst="rect">
          <a:avLst/>
        </a:prstGeom>
      </xdr:spPr>
    </xdr:pic>
    <xdr:clientData/>
  </xdr:twoCellAnchor>
  <xdr:twoCellAnchor>
    <xdr:from>
      <xdr:col>2</xdr:col>
      <xdr:colOff>213360</xdr:colOff>
      <xdr:row>7</xdr:row>
      <xdr:rowOff>60960</xdr:rowOff>
    </xdr:from>
    <xdr:to>
      <xdr:col>3</xdr:col>
      <xdr:colOff>441960</xdr:colOff>
      <xdr:row>8</xdr:row>
      <xdr:rowOff>114300</xdr:rowOff>
    </xdr:to>
    <xdr:sp macro="" textlink="Pivots!A10">
      <xdr:nvSpPr>
        <xdr:cNvPr id="5" name="TextBox 4">
          <a:extLst>
            <a:ext uri="{FF2B5EF4-FFF2-40B4-BE49-F238E27FC236}">
              <a16:creationId xmlns:a16="http://schemas.microsoft.com/office/drawing/2014/main" id="{6E087DDD-3B73-DD9C-B90E-671C05DB0197}"/>
            </a:ext>
          </a:extLst>
        </xdr:cNvPr>
        <xdr:cNvSpPr txBox="1"/>
      </xdr:nvSpPr>
      <xdr:spPr>
        <a:xfrm>
          <a:off x="845820" y="1287780"/>
          <a:ext cx="899160" cy="22860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CAD0A9-E80B-42E5-90C6-7CD33AAEB099}" type="TxLink">
            <a:rPr lang="en-US" sz="1200" b="1" i="0" u="none" strike="noStrike">
              <a:ln>
                <a:noFill/>
              </a:ln>
              <a:solidFill>
                <a:schemeClr val="bg1"/>
              </a:solidFill>
              <a:latin typeface="Cambria"/>
              <a:ea typeface="Cambria"/>
            </a:rPr>
            <a:pPr algn="ctr"/>
            <a:t>596</a:t>
          </a:fld>
          <a:endParaRPr lang="en-IN" sz="1200" b="1">
            <a:ln>
              <a:noFill/>
            </a:ln>
            <a:solidFill>
              <a:schemeClr val="bg1"/>
            </a:solidFill>
          </a:endParaRPr>
        </a:p>
      </xdr:txBody>
    </xdr:sp>
    <xdr:clientData/>
  </xdr:twoCellAnchor>
  <xdr:twoCellAnchor>
    <xdr:from>
      <xdr:col>1</xdr:col>
      <xdr:colOff>274320</xdr:colOff>
      <xdr:row>11</xdr:row>
      <xdr:rowOff>0</xdr:rowOff>
    </xdr:from>
    <xdr:to>
      <xdr:col>3</xdr:col>
      <xdr:colOff>617220</xdr:colOff>
      <xdr:row>15</xdr:row>
      <xdr:rowOff>160020</xdr:rowOff>
    </xdr:to>
    <xdr:sp macro="" textlink="Pivots!B4">
      <xdr:nvSpPr>
        <xdr:cNvPr id="6" name="Rectangle 5">
          <a:extLst>
            <a:ext uri="{FF2B5EF4-FFF2-40B4-BE49-F238E27FC236}">
              <a16:creationId xmlns:a16="http://schemas.microsoft.com/office/drawing/2014/main" id="{A791F279-C1F4-4523-8682-D37D3671E767}"/>
            </a:ext>
          </a:extLst>
        </xdr:cNvPr>
        <xdr:cNvSpPr/>
      </xdr:nvSpPr>
      <xdr:spPr>
        <a:xfrm>
          <a:off x="617220" y="1927860"/>
          <a:ext cx="1303020" cy="861060"/>
        </a:xfrm>
        <a:prstGeom prst="rect">
          <a:avLst/>
        </a:prstGeom>
        <a:solidFill>
          <a:schemeClr val="accent5"/>
        </a:solidFill>
        <a:ln>
          <a:noFill/>
        </a:ln>
        <a:effectLst>
          <a:outerShdw blurRad="254000" dist="127000" algn="l" rotWithShape="0">
            <a:prstClr val="black">
              <a:alpha val="5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39332024-835B-462C-9C0A-9C8B9A2CE2E9}" type="TxLink">
            <a:rPr lang="en-US" sz="1500" b="0" i="0" u="none" strike="noStrike">
              <a:ln>
                <a:solidFill>
                  <a:schemeClr val="bg1"/>
                </a:solidFill>
              </a:ln>
              <a:solidFill>
                <a:schemeClr val="bg1"/>
              </a:solidFill>
              <a:latin typeface="Cambria"/>
              <a:ea typeface="Cambria"/>
            </a:rPr>
            <a:pPr algn="ctr"/>
            <a:t>$96,623</a:t>
          </a:fld>
          <a:endParaRPr lang="en-IN" sz="1500">
            <a:ln>
              <a:solidFill>
                <a:schemeClr val="bg1"/>
              </a:solidFill>
            </a:ln>
            <a:solidFill>
              <a:schemeClr val="bg1"/>
            </a:solidFill>
            <a:latin typeface="+mj-lt"/>
          </a:endParaRPr>
        </a:p>
      </xdr:txBody>
    </xdr:sp>
    <xdr:clientData/>
  </xdr:twoCellAnchor>
  <xdr:twoCellAnchor>
    <xdr:from>
      <xdr:col>2</xdr:col>
      <xdr:colOff>190500</xdr:colOff>
      <xdr:row>11</xdr:row>
      <xdr:rowOff>22860</xdr:rowOff>
    </xdr:from>
    <xdr:to>
      <xdr:col>3</xdr:col>
      <xdr:colOff>411480</xdr:colOff>
      <xdr:row>12</xdr:row>
      <xdr:rowOff>106680</xdr:rowOff>
    </xdr:to>
    <xdr:sp macro="" textlink="">
      <xdr:nvSpPr>
        <xdr:cNvPr id="7" name="TextBox 6">
          <a:extLst>
            <a:ext uri="{FF2B5EF4-FFF2-40B4-BE49-F238E27FC236}">
              <a16:creationId xmlns:a16="http://schemas.microsoft.com/office/drawing/2014/main" id="{AFC8D5CC-565F-458E-A27C-C3292384FA6B}"/>
            </a:ext>
          </a:extLst>
        </xdr:cNvPr>
        <xdr:cNvSpPr txBox="1"/>
      </xdr:nvSpPr>
      <xdr:spPr>
        <a:xfrm>
          <a:off x="822960" y="1950720"/>
          <a:ext cx="8915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mj-lt"/>
            </a:rPr>
            <a:t>Amount</a:t>
          </a:r>
          <a:endParaRPr lang="en-IN" sz="1300">
            <a:solidFill>
              <a:schemeClr val="bg1"/>
            </a:solidFill>
            <a:latin typeface="+mj-lt"/>
          </a:endParaRPr>
        </a:p>
      </xdr:txBody>
    </xdr:sp>
    <xdr:clientData/>
  </xdr:twoCellAnchor>
  <xdr:twoCellAnchor>
    <xdr:from>
      <xdr:col>2</xdr:col>
      <xdr:colOff>198120</xdr:colOff>
      <xdr:row>14</xdr:row>
      <xdr:rowOff>76200</xdr:rowOff>
    </xdr:from>
    <xdr:to>
      <xdr:col>3</xdr:col>
      <xdr:colOff>426720</xdr:colOff>
      <xdr:row>15</xdr:row>
      <xdr:rowOff>129540</xdr:rowOff>
    </xdr:to>
    <xdr:sp macro="" textlink="Pivots!B10">
      <xdr:nvSpPr>
        <xdr:cNvPr id="9" name="TextBox 8">
          <a:extLst>
            <a:ext uri="{FF2B5EF4-FFF2-40B4-BE49-F238E27FC236}">
              <a16:creationId xmlns:a16="http://schemas.microsoft.com/office/drawing/2014/main" id="{EC195024-0A9A-4CC9-8F01-A4DE8DEB8106}"/>
            </a:ext>
          </a:extLst>
        </xdr:cNvPr>
        <xdr:cNvSpPr txBox="1"/>
      </xdr:nvSpPr>
      <xdr:spPr>
        <a:xfrm>
          <a:off x="830580" y="2529840"/>
          <a:ext cx="899160" cy="22860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CED096-D646-4134-AA9C-E84C430C66E4}" type="TxLink">
            <a:rPr lang="en-US" sz="1200" b="0" i="0" u="none" strike="noStrike">
              <a:ln>
                <a:solidFill>
                  <a:schemeClr val="bg1"/>
                </a:solidFill>
              </a:ln>
              <a:solidFill>
                <a:schemeClr val="bg1"/>
              </a:solidFill>
              <a:latin typeface="Cambria"/>
              <a:ea typeface="Cambria"/>
            </a:rPr>
            <a:pPr algn="ctr"/>
            <a:t>$59,391</a:t>
          </a:fld>
          <a:endParaRPr lang="en-IN" sz="1400" b="1">
            <a:ln>
              <a:solidFill>
                <a:schemeClr val="bg1"/>
              </a:solidFill>
            </a:ln>
            <a:solidFill>
              <a:schemeClr val="bg1"/>
            </a:solidFill>
          </a:endParaRPr>
        </a:p>
      </xdr:txBody>
    </xdr:sp>
    <xdr:clientData/>
  </xdr:twoCellAnchor>
  <xdr:twoCellAnchor>
    <xdr:from>
      <xdr:col>1</xdr:col>
      <xdr:colOff>259080</xdr:colOff>
      <xdr:row>18</xdr:row>
      <xdr:rowOff>38100</xdr:rowOff>
    </xdr:from>
    <xdr:to>
      <xdr:col>3</xdr:col>
      <xdr:colOff>601980</xdr:colOff>
      <xdr:row>23</xdr:row>
      <xdr:rowOff>22860</xdr:rowOff>
    </xdr:to>
    <xdr:sp macro="" textlink="Pivots!C4">
      <xdr:nvSpPr>
        <xdr:cNvPr id="10" name="Rectangle 9">
          <a:extLst>
            <a:ext uri="{FF2B5EF4-FFF2-40B4-BE49-F238E27FC236}">
              <a16:creationId xmlns:a16="http://schemas.microsoft.com/office/drawing/2014/main" id="{E7DD81A3-AB7B-4F13-BBCE-E20DB3763EB6}"/>
            </a:ext>
          </a:extLst>
        </xdr:cNvPr>
        <xdr:cNvSpPr/>
      </xdr:nvSpPr>
      <xdr:spPr>
        <a:xfrm>
          <a:off x="601980" y="3192780"/>
          <a:ext cx="1280160" cy="861060"/>
        </a:xfrm>
        <a:prstGeom prst="rect">
          <a:avLst/>
        </a:prstGeom>
        <a:solidFill>
          <a:schemeClr val="accent5"/>
        </a:solidFill>
        <a:ln>
          <a:noFill/>
        </a:ln>
        <a:effectLst>
          <a:outerShdw blurRad="254000" dist="127000" algn="l" rotWithShape="0">
            <a:prstClr val="black">
              <a:alpha val="5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ACB5A634-1473-4907-B4E5-217E357E1A8E}" type="TxLink">
            <a:rPr lang="en-US" sz="1500" b="0" i="0" u="none" strike="noStrike">
              <a:ln>
                <a:solidFill>
                  <a:schemeClr val="bg1"/>
                </a:solidFill>
              </a:ln>
              <a:solidFill>
                <a:schemeClr val="bg1"/>
              </a:solidFill>
              <a:latin typeface="Cambria"/>
              <a:ea typeface="Cambria"/>
            </a:rPr>
            <a:pPr algn="ctr"/>
            <a:t>89,850</a:t>
          </a:fld>
          <a:endParaRPr lang="en-IN" sz="1500">
            <a:ln>
              <a:solidFill>
                <a:schemeClr val="bg1"/>
              </a:solidFill>
            </a:ln>
            <a:solidFill>
              <a:schemeClr val="bg1"/>
            </a:solidFill>
            <a:latin typeface="+mj-lt"/>
          </a:endParaRPr>
        </a:p>
      </xdr:txBody>
    </xdr:sp>
    <xdr:clientData/>
  </xdr:twoCellAnchor>
  <xdr:twoCellAnchor>
    <xdr:from>
      <xdr:col>2</xdr:col>
      <xdr:colOff>175260</xdr:colOff>
      <xdr:row>18</xdr:row>
      <xdr:rowOff>60960</xdr:rowOff>
    </xdr:from>
    <xdr:to>
      <xdr:col>3</xdr:col>
      <xdr:colOff>396240</xdr:colOff>
      <xdr:row>19</xdr:row>
      <xdr:rowOff>144780</xdr:rowOff>
    </xdr:to>
    <xdr:sp macro="" textlink="">
      <xdr:nvSpPr>
        <xdr:cNvPr id="11" name="TextBox 10">
          <a:extLst>
            <a:ext uri="{FF2B5EF4-FFF2-40B4-BE49-F238E27FC236}">
              <a16:creationId xmlns:a16="http://schemas.microsoft.com/office/drawing/2014/main" id="{4351FF82-F8CE-434B-86E3-6EED5FBB2733}"/>
            </a:ext>
          </a:extLst>
        </xdr:cNvPr>
        <xdr:cNvSpPr txBox="1"/>
      </xdr:nvSpPr>
      <xdr:spPr>
        <a:xfrm>
          <a:off x="807720" y="3215640"/>
          <a:ext cx="8915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mj-lt"/>
            </a:rPr>
            <a:t>Duration</a:t>
          </a:r>
          <a:endParaRPr lang="en-IN" sz="1300">
            <a:solidFill>
              <a:schemeClr val="bg1"/>
            </a:solidFill>
            <a:latin typeface="+mj-lt"/>
          </a:endParaRPr>
        </a:p>
      </xdr:txBody>
    </xdr:sp>
    <xdr:clientData/>
  </xdr:twoCellAnchor>
  <xdr:twoCellAnchor>
    <xdr:from>
      <xdr:col>2</xdr:col>
      <xdr:colOff>182880</xdr:colOff>
      <xdr:row>21</xdr:row>
      <xdr:rowOff>114300</xdr:rowOff>
    </xdr:from>
    <xdr:to>
      <xdr:col>3</xdr:col>
      <xdr:colOff>411480</xdr:colOff>
      <xdr:row>22</xdr:row>
      <xdr:rowOff>167640</xdr:rowOff>
    </xdr:to>
    <xdr:sp macro="" textlink="Pivots!C10">
      <xdr:nvSpPr>
        <xdr:cNvPr id="13" name="TextBox 12">
          <a:extLst>
            <a:ext uri="{FF2B5EF4-FFF2-40B4-BE49-F238E27FC236}">
              <a16:creationId xmlns:a16="http://schemas.microsoft.com/office/drawing/2014/main" id="{C4DD5A42-EBF6-4F12-B0EA-744221CBD85E}"/>
            </a:ext>
          </a:extLst>
        </xdr:cNvPr>
        <xdr:cNvSpPr txBox="1"/>
      </xdr:nvSpPr>
      <xdr:spPr>
        <a:xfrm>
          <a:off x="815340" y="3794760"/>
          <a:ext cx="899160" cy="22860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7402C0-2B53-4748-A897-BC5F99FBEC64}" type="TxLink">
            <a:rPr lang="en-US" sz="1200" b="0" i="0" u="none" strike="noStrike">
              <a:ln>
                <a:solidFill>
                  <a:schemeClr val="bg1"/>
                </a:solidFill>
              </a:ln>
              <a:solidFill>
                <a:schemeClr val="bg1"/>
              </a:solidFill>
              <a:latin typeface="Cambria"/>
              <a:ea typeface="Cambria"/>
            </a:rPr>
            <a:pPr algn="ctr"/>
            <a:t>52,743</a:t>
          </a:fld>
          <a:endParaRPr lang="en-IN" sz="1400" b="1">
            <a:ln>
              <a:solidFill>
                <a:schemeClr val="bg1"/>
              </a:solidFill>
            </a:ln>
            <a:solidFill>
              <a:schemeClr val="bg1"/>
            </a:solidFill>
          </a:endParaRPr>
        </a:p>
      </xdr:txBody>
    </xdr:sp>
    <xdr:clientData/>
  </xdr:twoCellAnchor>
  <xdr:twoCellAnchor>
    <xdr:from>
      <xdr:col>1</xdr:col>
      <xdr:colOff>236220</xdr:colOff>
      <xdr:row>25</xdr:row>
      <xdr:rowOff>83820</xdr:rowOff>
    </xdr:from>
    <xdr:to>
      <xdr:col>3</xdr:col>
      <xdr:colOff>579120</xdr:colOff>
      <xdr:row>30</xdr:row>
      <xdr:rowOff>68580</xdr:rowOff>
    </xdr:to>
    <xdr:sp macro="" textlink="Pivots!D4">
      <xdr:nvSpPr>
        <xdr:cNvPr id="14" name="Rectangle 13">
          <a:extLst>
            <a:ext uri="{FF2B5EF4-FFF2-40B4-BE49-F238E27FC236}">
              <a16:creationId xmlns:a16="http://schemas.microsoft.com/office/drawing/2014/main" id="{0F47984A-CD68-4A1D-A866-F6EA4603043D}"/>
            </a:ext>
          </a:extLst>
        </xdr:cNvPr>
        <xdr:cNvSpPr/>
      </xdr:nvSpPr>
      <xdr:spPr>
        <a:xfrm>
          <a:off x="579120" y="4465320"/>
          <a:ext cx="1303020" cy="861060"/>
        </a:xfrm>
        <a:prstGeom prst="rect">
          <a:avLst/>
        </a:prstGeom>
        <a:solidFill>
          <a:schemeClr val="accent5"/>
        </a:solidFill>
        <a:ln>
          <a:noFill/>
        </a:ln>
        <a:effectLst>
          <a:outerShdw blurRad="254000" dist="127000" algn="l" rotWithShape="0">
            <a:prstClr val="black">
              <a:alpha val="5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7550FF9E-37A5-4C21-90AA-256134BBF0B4}" type="TxLink">
            <a:rPr lang="en-US" sz="1500" b="0" i="0" u="none" strike="noStrike">
              <a:ln>
                <a:solidFill>
                  <a:schemeClr val="bg1"/>
                </a:solidFill>
              </a:ln>
              <a:solidFill>
                <a:schemeClr val="bg1"/>
              </a:solidFill>
              <a:latin typeface="Cambria"/>
              <a:ea typeface="Cambria"/>
            </a:rPr>
            <a:pPr algn="ctr"/>
            <a:t>3.9</a:t>
          </a:fld>
          <a:endParaRPr lang="en-IN" sz="1500" b="0">
            <a:ln>
              <a:solidFill>
                <a:schemeClr val="bg1"/>
              </a:solidFill>
            </a:ln>
            <a:solidFill>
              <a:schemeClr val="bg1"/>
            </a:solidFill>
            <a:latin typeface="+mj-lt"/>
          </a:endParaRPr>
        </a:p>
      </xdr:txBody>
    </xdr:sp>
    <xdr:clientData/>
  </xdr:twoCellAnchor>
  <xdr:twoCellAnchor>
    <xdr:from>
      <xdr:col>2</xdr:col>
      <xdr:colOff>152400</xdr:colOff>
      <xdr:row>25</xdr:row>
      <xdr:rowOff>106680</xdr:rowOff>
    </xdr:from>
    <xdr:to>
      <xdr:col>3</xdr:col>
      <xdr:colOff>502920</xdr:colOff>
      <xdr:row>27</xdr:row>
      <xdr:rowOff>15240</xdr:rowOff>
    </xdr:to>
    <xdr:sp macro="" textlink="">
      <xdr:nvSpPr>
        <xdr:cNvPr id="15" name="TextBox 14">
          <a:extLst>
            <a:ext uri="{FF2B5EF4-FFF2-40B4-BE49-F238E27FC236}">
              <a16:creationId xmlns:a16="http://schemas.microsoft.com/office/drawing/2014/main" id="{C45E55F8-8178-4D26-ABC9-3F3BD5A1B1A2}"/>
            </a:ext>
          </a:extLst>
        </xdr:cNvPr>
        <xdr:cNvSpPr txBox="1"/>
      </xdr:nvSpPr>
      <xdr:spPr>
        <a:xfrm>
          <a:off x="762000" y="4488180"/>
          <a:ext cx="10210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mj-lt"/>
            </a:rPr>
            <a:t>Avg.</a:t>
          </a:r>
          <a:r>
            <a:rPr lang="en-IN" sz="1200" baseline="0">
              <a:solidFill>
                <a:schemeClr val="bg1"/>
              </a:solidFill>
              <a:latin typeface="+mj-lt"/>
            </a:rPr>
            <a:t> Rating</a:t>
          </a:r>
          <a:endParaRPr lang="en-IN" sz="1200">
            <a:solidFill>
              <a:schemeClr val="bg1"/>
            </a:solidFill>
            <a:latin typeface="+mj-lt"/>
          </a:endParaRPr>
        </a:p>
      </xdr:txBody>
    </xdr:sp>
    <xdr:clientData/>
  </xdr:twoCellAnchor>
  <xdr:twoCellAnchor>
    <xdr:from>
      <xdr:col>2</xdr:col>
      <xdr:colOff>160020</xdr:colOff>
      <xdr:row>28</xdr:row>
      <xdr:rowOff>160020</xdr:rowOff>
    </xdr:from>
    <xdr:to>
      <xdr:col>3</xdr:col>
      <xdr:colOff>388620</xdr:colOff>
      <xdr:row>30</xdr:row>
      <xdr:rowOff>38100</xdr:rowOff>
    </xdr:to>
    <xdr:sp macro="" textlink="Pivots!D10">
      <xdr:nvSpPr>
        <xdr:cNvPr id="17" name="TextBox 16">
          <a:extLst>
            <a:ext uri="{FF2B5EF4-FFF2-40B4-BE49-F238E27FC236}">
              <a16:creationId xmlns:a16="http://schemas.microsoft.com/office/drawing/2014/main" id="{23F36E6D-F599-48F7-9B4B-1B5FB0AE6AC5}"/>
            </a:ext>
          </a:extLst>
        </xdr:cNvPr>
        <xdr:cNvSpPr txBox="1"/>
      </xdr:nvSpPr>
      <xdr:spPr>
        <a:xfrm>
          <a:off x="792480" y="5067300"/>
          <a:ext cx="899160" cy="22860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B08820-F002-41E3-948A-B1AB180DCF5F}" type="TxLink">
            <a:rPr lang="en-US" sz="1200" b="0" i="0" u="none" strike="noStrike">
              <a:ln>
                <a:solidFill>
                  <a:schemeClr val="bg1"/>
                </a:solidFill>
              </a:ln>
              <a:solidFill>
                <a:schemeClr val="bg1"/>
              </a:solidFill>
              <a:latin typeface="Cambria"/>
              <a:ea typeface="Cambria"/>
            </a:rPr>
            <a:pPr algn="ctr"/>
            <a:t>3.9</a:t>
          </a:fld>
          <a:endParaRPr lang="en-IN" sz="1400" b="1">
            <a:ln>
              <a:solidFill>
                <a:schemeClr val="bg1"/>
              </a:solidFill>
            </a:ln>
            <a:solidFill>
              <a:schemeClr val="bg1"/>
            </a:solidFill>
          </a:endParaRPr>
        </a:p>
      </xdr:txBody>
    </xdr:sp>
    <xdr:clientData/>
  </xdr:twoCellAnchor>
  <xdr:twoCellAnchor>
    <xdr:from>
      <xdr:col>1</xdr:col>
      <xdr:colOff>281940</xdr:colOff>
      <xdr:row>32</xdr:row>
      <xdr:rowOff>99060</xdr:rowOff>
    </xdr:from>
    <xdr:to>
      <xdr:col>3</xdr:col>
      <xdr:colOff>624840</xdr:colOff>
      <xdr:row>37</xdr:row>
      <xdr:rowOff>83820</xdr:rowOff>
    </xdr:to>
    <xdr:sp macro="" textlink="Pivots!E4">
      <xdr:nvSpPr>
        <xdr:cNvPr id="18" name="Rectangle 17">
          <a:extLst>
            <a:ext uri="{FF2B5EF4-FFF2-40B4-BE49-F238E27FC236}">
              <a16:creationId xmlns:a16="http://schemas.microsoft.com/office/drawing/2014/main" id="{4F3F514D-1B27-4801-8091-018A22033425}"/>
            </a:ext>
          </a:extLst>
        </xdr:cNvPr>
        <xdr:cNvSpPr/>
      </xdr:nvSpPr>
      <xdr:spPr>
        <a:xfrm>
          <a:off x="624840" y="5707380"/>
          <a:ext cx="1303020" cy="861060"/>
        </a:xfrm>
        <a:prstGeom prst="rect">
          <a:avLst/>
        </a:prstGeom>
        <a:solidFill>
          <a:schemeClr val="accent5"/>
        </a:solidFill>
        <a:ln>
          <a:noFill/>
        </a:ln>
        <a:effectLst>
          <a:outerShdw blurRad="254000" dist="127000" algn="l" rotWithShape="0">
            <a:prstClr val="black">
              <a:alpha val="5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E8BE5BDA-F9CE-4F6A-A9DF-73EA5717A2B5}" type="TxLink">
            <a:rPr lang="en-US" sz="1500" b="0" i="0" u="none" strike="noStrike">
              <a:ln>
                <a:solidFill>
                  <a:schemeClr val="bg1"/>
                </a:solidFill>
              </a:ln>
              <a:solidFill>
                <a:schemeClr val="bg1"/>
              </a:solidFill>
              <a:latin typeface="Cambria"/>
              <a:ea typeface="Cambria"/>
            </a:rPr>
            <a:pPr algn="ctr"/>
            <a:t>307</a:t>
          </a:fld>
          <a:endParaRPr lang="en-IN" sz="1500">
            <a:ln>
              <a:solidFill>
                <a:schemeClr val="bg1"/>
              </a:solidFill>
            </a:ln>
            <a:solidFill>
              <a:schemeClr val="bg1"/>
            </a:solidFill>
            <a:latin typeface="+mj-lt"/>
          </a:endParaRPr>
        </a:p>
      </xdr:txBody>
    </xdr:sp>
    <xdr:clientData/>
  </xdr:twoCellAnchor>
  <xdr:twoCellAnchor>
    <xdr:from>
      <xdr:col>2</xdr:col>
      <xdr:colOff>198120</xdr:colOff>
      <xdr:row>32</xdr:row>
      <xdr:rowOff>121920</xdr:rowOff>
    </xdr:from>
    <xdr:to>
      <xdr:col>3</xdr:col>
      <xdr:colOff>419100</xdr:colOff>
      <xdr:row>34</xdr:row>
      <xdr:rowOff>30480</xdr:rowOff>
    </xdr:to>
    <xdr:sp macro="" textlink="">
      <xdr:nvSpPr>
        <xdr:cNvPr id="19" name="TextBox 18">
          <a:extLst>
            <a:ext uri="{FF2B5EF4-FFF2-40B4-BE49-F238E27FC236}">
              <a16:creationId xmlns:a16="http://schemas.microsoft.com/office/drawing/2014/main" id="{666F09BD-C869-44C3-81E1-6AEDBB1164FE}"/>
            </a:ext>
          </a:extLst>
        </xdr:cNvPr>
        <xdr:cNvSpPr txBox="1"/>
      </xdr:nvSpPr>
      <xdr:spPr>
        <a:xfrm>
          <a:off x="830580" y="5730240"/>
          <a:ext cx="8915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mj-lt"/>
            </a:rPr>
            <a:t>5*</a:t>
          </a:r>
          <a:r>
            <a:rPr lang="en-IN" sz="1400" baseline="0">
              <a:solidFill>
                <a:schemeClr val="bg1"/>
              </a:solidFill>
              <a:latin typeface="+mj-lt"/>
            </a:rPr>
            <a:t> </a:t>
          </a:r>
          <a:r>
            <a:rPr lang="en-IN" sz="1200" baseline="0">
              <a:solidFill>
                <a:schemeClr val="bg1"/>
              </a:solidFill>
              <a:latin typeface="+mj-lt"/>
            </a:rPr>
            <a:t>Calls</a:t>
          </a:r>
          <a:endParaRPr lang="en-IN" sz="1400">
            <a:solidFill>
              <a:schemeClr val="bg1"/>
            </a:solidFill>
            <a:latin typeface="+mj-lt"/>
          </a:endParaRPr>
        </a:p>
      </xdr:txBody>
    </xdr:sp>
    <xdr:clientData/>
  </xdr:twoCellAnchor>
  <xdr:twoCellAnchor>
    <xdr:from>
      <xdr:col>2</xdr:col>
      <xdr:colOff>310150</xdr:colOff>
      <xdr:row>35</xdr:row>
      <xdr:rowOff>121920</xdr:rowOff>
    </xdr:from>
    <xdr:to>
      <xdr:col>3</xdr:col>
      <xdr:colOff>266699</xdr:colOff>
      <xdr:row>37</xdr:row>
      <xdr:rowOff>53340</xdr:rowOff>
    </xdr:to>
    <xdr:sp macro="" textlink="Pivots!E10">
      <xdr:nvSpPr>
        <xdr:cNvPr id="21" name="TextBox 20">
          <a:extLst>
            <a:ext uri="{FF2B5EF4-FFF2-40B4-BE49-F238E27FC236}">
              <a16:creationId xmlns:a16="http://schemas.microsoft.com/office/drawing/2014/main" id="{6C55A0B9-5734-4070-ABCE-0585944454C4}"/>
            </a:ext>
          </a:extLst>
        </xdr:cNvPr>
        <xdr:cNvSpPr txBox="1"/>
      </xdr:nvSpPr>
      <xdr:spPr>
        <a:xfrm>
          <a:off x="919750" y="6256020"/>
          <a:ext cx="627109" cy="28194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1E89B3-436B-43DC-A506-1C163326FA00}" type="TxLink">
            <a:rPr lang="en-US" sz="1200" b="0" i="0" u="none" strike="noStrike">
              <a:ln>
                <a:solidFill>
                  <a:schemeClr val="bg1"/>
                </a:solidFill>
              </a:ln>
              <a:solidFill>
                <a:schemeClr val="bg1"/>
              </a:solidFill>
              <a:latin typeface="Cambria"/>
              <a:ea typeface="Cambria"/>
            </a:rPr>
            <a:pPr algn="ctr"/>
            <a:t>171</a:t>
          </a:fld>
          <a:endParaRPr lang="en-IN" sz="1200" b="1">
            <a:ln>
              <a:solidFill>
                <a:schemeClr val="bg1"/>
              </a:solidFill>
            </a:ln>
            <a:solidFill>
              <a:schemeClr val="bg1"/>
            </a:solidFill>
          </a:endParaRPr>
        </a:p>
      </xdr:txBody>
    </xdr:sp>
    <xdr:clientData/>
  </xdr:twoCellAnchor>
  <xdr:twoCellAnchor editAs="oneCell">
    <xdr:from>
      <xdr:col>1</xdr:col>
      <xdr:colOff>251460</xdr:colOff>
      <xdr:row>18</xdr:row>
      <xdr:rowOff>83821</xdr:rowOff>
    </xdr:from>
    <xdr:to>
      <xdr:col>2</xdr:col>
      <xdr:colOff>220980</xdr:colOff>
      <xdr:row>19</xdr:row>
      <xdr:rowOff>167640</xdr:rowOff>
    </xdr:to>
    <xdr:pic>
      <xdr:nvPicPr>
        <xdr:cNvPr id="22" name="Graphic 21" descr="Hourglass Finished with solid fill">
          <a:extLst>
            <a:ext uri="{FF2B5EF4-FFF2-40B4-BE49-F238E27FC236}">
              <a16:creationId xmlns:a16="http://schemas.microsoft.com/office/drawing/2014/main" id="{07032121-F0BF-48E0-8AD0-C5803EDF46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4360" y="3238501"/>
          <a:ext cx="236220" cy="259079"/>
        </a:xfrm>
        <a:prstGeom prst="rect">
          <a:avLst/>
        </a:prstGeom>
      </xdr:spPr>
    </xdr:pic>
    <xdr:clientData/>
  </xdr:twoCellAnchor>
  <xdr:twoCellAnchor editAs="oneCell">
    <xdr:from>
      <xdr:col>2</xdr:col>
      <xdr:colOff>7620</xdr:colOff>
      <xdr:row>11</xdr:row>
      <xdr:rowOff>30480</xdr:rowOff>
    </xdr:from>
    <xdr:to>
      <xdr:col>2</xdr:col>
      <xdr:colOff>308116</xdr:colOff>
      <xdr:row>12</xdr:row>
      <xdr:rowOff>144780</xdr:rowOff>
    </xdr:to>
    <xdr:pic>
      <xdr:nvPicPr>
        <xdr:cNvPr id="26" name="Graphic 25" descr="Shopping cart with solid fill">
          <a:extLst>
            <a:ext uri="{FF2B5EF4-FFF2-40B4-BE49-F238E27FC236}">
              <a16:creationId xmlns:a16="http://schemas.microsoft.com/office/drawing/2014/main" id="{F0B0708C-A67D-4A03-AD68-6CA2416D8E4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17220" y="1958340"/>
          <a:ext cx="300496" cy="289560"/>
        </a:xfrm>
        <a:prstGeom prst="rect">
          <a:avLst/>
        </a:prstGeom>
      </xdr:spPr>
    </xdr:pic>
    <xdr:clientData/>
  </xdr:twoCellAnchor>
  <xdr:twoCellAnchor editAs="oneCell">
    <xdr:from>
      <xdr:col>1</xdr:col>
      <xdr:colOff>236220</xdr:colOff>
      <xdr:row>25</xdr:row>
      <xdr:rowOff>106679</xdr:rowOff>
    </xdr:from>
    <xdr:to>
      <xdr:col>2</xdr:col>
      <xdr:colOff>250631</xdr:colOff>
      <xdr:row>27</xdr:row>
      <xdr:rowOff>30479</xdr:rowOff>
    </xdr:to>
    <xdr:pic>
      <xdr:nvPicPr>
        <xdr:cNvPr id="27" name="Graphic 26" descr="Rating Star with solid fill">
          <a:extLst>
            <a:ext uri="{FF2B5EF4-FFF2-40B4-BE49-F238E27FC236}">
              <a16:creationId xmlns:a16="http://schemas.microsoft.com/office/drawing/2014/main" id="{0AAB9A41-F450-4ABF-A7F3-003435A7B8D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79120" y="4488179"/>
          <a:ext cx="281111" cy="274321"/>
        </a:xfrm>
        <a:prstGeom prst="rect">
          <a:avLst/>
        </a:prstGeom>
      </xdr:spPr>
    </xdr:pic>
    <xdr:clientData/>
  </xdr:twoCellAnchor>
  <xdr:twoCellAnchor editAs="oneCell">
    <xdr:from>
      <xdr:col>13</xdr:col>
      <xdr:colOff>538779</xdr:colOff>
      <xdr:row>23</xdr:row>
      <xdr:rowOff>90096</xdr:rowOff>
    </xdr:from>
    <xdr:to>
      <xdr:col>15</xdr:col>
      <xdr:colOff>618565</xdr:colOff>
      <xdr:row>33</xdr:row>
      <xdr:rowOff>143435</xdr:rowOff>
    </xdr:to>
    <mc:AlternateContent xmlns:mc="http://schemas.openxmlformats.org/markup-compatibility/2006" xmlns:a14="http://schemas.microsoft.com/office/drawing/2010/main">
      <mc:Choice Requires="a14">
        <xdr:graphicFrame macro="">
          <xdr:nvGraphicFramePr>
            <xdr:cNvPr id="29" name="Representative">
              <a:extLst>
                <a:ext uri="{FF2B5EF4-FFF2-40B4-BE49-F238E27FC236}">
                  <a16:creationId xmlns:a16="http://schemas.microsoft.com/office/drawing/2014/main" id="{B9F7F568-80A3-44FE-A8BF-1FADE1DC926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176708" y="4384190"/>
              <a:ext cx="967292" cy="184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xdr:colOff>
      <xdr:row>32</xdr:row>
      <xdr:rowOff>106681</xdr:rowOff>
    </xdr:from>
    <xdr:to>
      <xdr:col>2</xdr:col>
      <xdr:colOff>269557</xdr:colOff>
      <xdr:row>34</xdr:row>
      <xdr:rowOff>22860</xdr:rowOff>
    </xdr:to>
    <xdr:pic>
      <xdr:nvPicPr>
        <xdr:cNvPr id="28" name="Graphic 27" descr="Call center with solid fill">
          <a:extLst>
            <a:ext uri="{FF2B5EF4-FFF2-40B4-BE49-F238E27FC236}">
              <a16:creationId xmlns:a16="http://schemas.microsoft.com/office/drawing/2014/main" id="{6D79D785-A7B8-4E40-BB64-945D0181B9F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2460" y="5715001"/>
          <a:ext cx="246697" cy="266699"/>
        </a:xfrm>
        <a:prstGeom prst="rect">
          <a:avLst/>
        </a:prstGeom>
      </xdr:spPr>
    </xdr:pic>
    <xdr:clientData/>
  </xdr:twoCellAnchor>
  <xdr:twoCellAnchor>
    <xdr:from>
      <xdr:col>11</xdr:col>
      <xdr:colOff>335728</xdr:colOff>
      <xdr:row>4</xdr:row>
      <xdr:rowOff>0</xdr:rowOff>
    </xdr:from>
    <xdr:to>
      <xdr:col>15</xdr:col>
      <xdr:colOff>166295</xdr:colOff>
      <xdr:row>16</xdr:row>
      <xdr:rowOff>0</xdr:rowOff>
    </xdr:to>
    <xdr:graphicFrame macro="">
      <xdr:nvGraphicFramePr>
        <xdr:cNvPr id="33" name="Chart 32">
          <a:extLst>
            <a:ext uri="{FF2B5EF4-FFF2-40B4-BE49-F238E27FC236}">
              <a16:creationId xmlns:a16="http://schemas.microsoft.com/office/drawing/2014/main" id="{FA5A4F0C-9A27-40EE-BB29-B622368E4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4</xdr:row>
      <xdr:rowOff>0</xdr:rowOff>
    </xdr:from>
    <xdr:to>
      <xdr:col>11</xdr:col>
      <xdr:colOff>349623</xdr:colOff>
      <xdr:row>16</xdr:row>
      <xdr:rowOff>0</xdr:rowOff>
    </xdr:to>
    <xdr:graphicFrame macro="">
      <xdr:nvGraphicFramePr>
        <xdr:cNvPr id="32" name="Chart 31">
          <a:extLst>
            <a:ext uri="{FF2B5EF4-FFF2-40B4-BE49-F238E27FC236}">
              <a16:creationId xmlns:a16="http://schemas.microsoft.com/office/drawing/2014/main" id="{37C4DC25-A876-424C-9D33-B031AD155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8965</xdr:colOff>
      <xdr:row>19</xdr:row>
      <xdr:rowOff>17930</xdr:rowOff>
    </xdr:from>
    <xdr:to>
      <xdr:col>13</xdr:col>
      <xdr:colOff>546847</xdr:colOff>
      <xdr:row>37</xdr:row>
      <xdr:rowOff>35859</xdr:rowOff>
    </xdr:to>
    <xdr:sp macro="" textlink="">
      <xdr:nvSpPr>
        <xdr:cNvPr id="36" name="Rectangle 35">
          <a:extLst>
            <a:ext uri="{FF2B5EF4-FFF2-40B4-BE49-F238E27FC236}">
              <a16:creationId xmlns:a16="http://schemas.microsoft.com/office/drawing/2014/main" id="{70218395-B50B-BECF-7C18-17B3D928B495}"/>
            </a:ext>
          </a:extLst>
        </xdr:cNvPr>
        <xdr:cNvSpPr/>
      </xdr:nvSpPr>
      <xdr:spPr>
        <a:xfrm>
          <a:off x="2268071" y="3424518"/>
          <a:ext cx="5916705" cy="3245223"/>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19</xdr:row>
      <xdr:rowOff>7619</xdr:rowOff>
    </xdr:from>
    <xdr:to>
      <xdr:col>9</xdr:col>
      <xdr:colOff>268941</xdr:colOff>
      <xdr:row>37</xdr:row>
      <xdr:rowOff>53788</xdr:rowOff>
    </xdr:to>
    <xdr:graphicFrame macro="">
      <xdr:nvGraphicFramePr>
        <xdr:cNvPr id="34" name="Chart 33">
          <a:extLst>
            <a:ext uri="{FF2B5EF4-FFF2-40B4-BE49-F238E27FC236}">
              <a16:creationId xmlns:a16="http://schemas.microsoft.com/office/drawing/2014/main" id="{B45645D5-27BC-4308-A3AE-32F987CC7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268941</xdr:colOff>
      <xdr:row>19</xdr:row>
      <xdr:rowOff>17929</xdr:rowOff>
    </xdr:from>
    <xdr:to>
      <xdr:col>13</xdr:col>
      <xdr:colOff>537883</xdr:colOff>
      <xdr:row>37</xdr:row>
      <xdr:rowOff>43891</xdr:rowOff>
    </xdr:to>
    <xdr:graphicFrame macro="">
      <xdr:nvGraphicFramePr>
        <xdr:cNvPr id="35" name="Chart 34">
          <a:extLst>
            <a:ext uri="{FF2B5EF4-FFF2-40B4-BE49-F238E27FC236}">
              <a16:creationId xmlns:a16="http://schemas.microsoft.com/office/drawing/2014/main" id="{854E8170-1CE8-4301-A148-0BAFE9E7F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188259</xdr:colOff>
      <xdr:row>4</xdr:row>
      <xdr:rowOff>0</xdr:rowOff>
    </xdr:from>
    <xdr:to>
      <xdr:col>21</xdr:col>
      <xdr:colOff>268941</xdr:colOff>
      <xdr:row>15</xdr:row>
      <xdr:rowOff>143435</xdr:rowOff>
    </xdr:to>
    <xdr:graphicFrame macro="">
      <xdr:nvGraphicFramePr>
        <xdr:cNvPr id="37" name="Chart 36">
          <a:extLst>
            <a:ext uri="{FF2B5EF4-FFF2-40B4-BE49-F238E27FC236}">
              <a16:creationId xmlns:a16="http://schemas.microsoft.com/office/drawing/2014/main" id="{AA26CE7D-8E19-4598-A214-AAC51454B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1</xdr:colOff>
      <xdr:row>4</xdr:row>
      <xdr:rowOff>0</xdr:rowOff>
    </xdr:from>
    <xdr:to>
      <xdr:col>25</xdr:col>
      <xdr:colOff>600635</xdr:colOff>
      <xdr:row>15</xdr:row>
      <xdr:rowOff>143435</xdr:rowOff>
    </xdr:to>
    <xdr:graphicFrame macro="">
      <xdr:nvGraphicFramePr>
        <xdr:cNvPr id="41" name="Chart 40">
          <a:extLst>
            <a:ext uri="{FF2B5EF4-FFF2-40B4-BE49-F238E27FC236}">
              <a16:creationId xmlns:a16="http://schemas.microsoft.com/office/drawing/2014/main" id="{A9A2E15B-473F-4B2F-B729-2235F4968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10</xdr:row>
      <xdr:rowOff>3063</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310927</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39757</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23894</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19</xdr:row>
      <xdr:rowOff>10855</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186.399758564818" backgroundQuery="1" createdVersion="8" refreshedVersion="8" minRefreshableVersion="3" recordCount="0" supportSubquery="1" supportAdvancedDrill="1" xr:uid="{EAFF18EA-CBCF-49AF-82B6-21065EA24B46}">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186.470839467591" backgroundQuery="1" createdVersion="8" refreshedVersion="8" minRefreshableVersion="3" recordCount="0" supportSubquery="1" supportAdvancedDrill="1" xr:uid="{F6EC0E77-C592-4FCF-B705-128AD3EC300D}">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186.548984143519" backgroundQuery="1" createdVersion="8" refreshedVersion="8" minRefreshableVersion="3" recordCount="0" supportSubquery="1" supportAdvancedDrill="1" xr:uid="{1FB4A9BD-83C9-4CCD-B81C-A86E8DF85F8F}">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186.632029513887" backgroundQuery="1" createdVersion="8" refreshedVersion="8" minRefreshableVersion="3" recordCount="0" supportSubquery="1" supportAdvancedDrill="1" xr:uid="{A240B4B8-A776-4992-A8B9-3ED0B62210D3}">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292.592899537034" backgroundQuery="1" createdVersion="8" refreshedVersion="8" minRefreshableVersion="3" recordCount="0" supportSubquery="1" supportAdvancedDrill="1" xr:uid="{D3E009AC-E456-4E4F-895F-5210FF3FB698}">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292.592900462965" backgroundQuery="1" createdVersion="8" refreshedVersion="8" minRefreshableVersion="3" recordCount="0" supportSubquery="1" supportAdvancedDrill="1" xr:uid="{7768D633-3179-4767-AD6E-246D23817062}">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292.592901041666" backgroundQuery="1" createdVersion="8" refreshedVersion="8" minRefreshableVersion="3" recordCount="0" supportSubquery="1" supportAdvancedDrill="1" xr:uid="{8C311609-A5C3-4B2F-B670-2C9F7E920E76}">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292.592901620374" backgroundQuery="1" createdVersion="8" refreshedVersion="8" minRefreshableVersion="3" recordCount="0" supportSubquery="1" supportAdvancedDrill="1" xr:uid="{22F1EE53-B9B7-41F0-BDB2-3C42F915C608}">
  <cacheSource type="external" connectionId="1"/>
  <cacheFields count="1">
    <cacheField name="[calls].[Representative].[Representative]" caption="Representative" numFmtId="0" hierarchy="3" level="1">
      <sharedItems count="3">
        <s v="R01"/>
        <s v="R03"/>
        <s v="R05"/>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292.592902314813" backgroundQuery="1" createdVersion="8" refreshedVersion="8" minRefreshableVersion="3" recordCount="0" supportSubquery="1" supportAdvancedDrill="1" xr:uid="{681A5C1B-8C69-4E9E-8235-9C22C7D80738}">
  <cacheSource type="external" connectionId="1"/>
  <cacheFields count="3">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292.592902777775" backgroundQuery="1" createdVersion="8" refreshedVersion="8" minRefreshableVersion="3" recordCount="0" supportSubquery="1" supportAdvancedDrill="1" xr:uid="{A93F4543-5DAA-43CE-80F5-9A8D66919566}">
  <cacheSource type="external" connectionId="1"/>
  <cacheFields count="3">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186.399754513892" backgroundQuery="1" createdVersion="3" refreshedVersion="8" minRefreshableVersion="3" recordCount="0" supportSubquery="1" supportAdvancedDrill="1" xr:uid="{F004F6CF-46D5-4C26-85D6-6BE77E0EBAD7}">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868037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708674-7E67-42A0-BCB4-26B46ABE9386}" name="rep satisfaction" cacheId="1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52:I5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3">
    <chartFormat chart="19"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3" level="1">
        <member name="[calls].[Representative].&amp;[R01]"/>
        <member name="[calls].[Representative].&amp;[R03]"/>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5969AD-55B9-4B7D-B685-769FB7FE74E7}" name="Monthly trend" cacheId="1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4:C2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4" format="10" series="1">
      <pivotArea type="data" outline="0" fieldPosition="0">
        <references count="1">
          <reference field="4294967294" count="1" selected="0">
            <x v="1"/>
          </reference>
        </references>
      </pivotArea>
    </chartFormat>
    <chartFormat chart="14" format="11"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3" level="1">
        <member name="[calls].[Representative].&amp;[R01]"/>
        <member name="[calls].[Representative].&amp;[R03]"/>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64D378-D761-497C-B140-1B3219760CD4}" name="repa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C3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726AB0-5A47-4FB0-B051-9B6ECCFFA22A}" name="rep pivot" cacheId="1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3" level="1">
        <member name="[calls].[Representative].&amp;[R01]"/>
        <member name="[calls].[Representative].&amp;[R03]"/>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A4432A-5162-4DC1-B27E-4A9C05960996}" name="rep amount"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71:G90"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15819C-E974-4293-92FD-B74BE9EEAEA0}" name="PivotTable7" cacheId="1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
  <location ref="A61:B6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4">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3" level="1">
        <member name="[calls].[Representative].&amp;[R01]"/>
        <member name="[calls].[Representative].&amp;[R03]"/>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D18FF0-E109-4CDB-90B8-4024EE2D1B1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2:D5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DD0542-B404-4BC9-99F9-5206E5596D39}"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05275B-787F-4E3C-B1B8-CC8E52680500}" name="Weekly Trend " cacheId="1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G14:H22"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2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3" level="1">
        <member name="[calls].[Representative].&amp;[R01]"/>
        <member name="[calls].[Representative].&amp;[R03]"/>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C80ADB-331F-4289-951A-DBD227BF8495}" name="selected rep" cacheId="14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4:A47" firstHeaderRow="1" firstDataRow="1" firstDataCol="1"/>
  <pivotFields count="1">
    <pivotField axis="axisRow" allDrilled="1" subtotalTop="0" showAll="0" dataSourceSort="1" defaultSubtotal="0" defaultAttributeDrillState="1">
      <items count="3">
        <item s="1" x="0"/>
        <item s="1" x="1"/>
        <item s="1" x="2"/>
      </items>
    </pivotField>
  </pivotFields>
  <rowFields count="1">
    <field x="0"/>
  </rowFields>
  <rowItems count="3">
    <i>
      <x/>
    </i>
    <i>
      <x v="1"/>
    </i>
    <i>
      <x v="2"/>
    </i>
  </rowItems>
  <formats count="2">
    <format dxfId="19">
      <pivotArea dataOnly="0" labelOnly="1" fieldPosition="0">
        <references count="1">
          <reference field="0" count="0"/>
        </references>
      </pivotArea>
    </format>
    <format dxfId="18">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F354820-D2ED-4942-870D-DAE0A38728C7}" sourceName="[calls].[Representative]">
  <pivotTables>
    <pivotTable tabId="6" name="rep pivot"/>
    <pivotTable tabId="6" name="Monthly trend"/>
    <pivotTable tabId="6" name="Weekly Trend "/>
    <pivotTable tabId="6" name="selected rep"/>
    <pivotTable tabId="6" name="rep satisfaction"/>
    <pivotTable tabId="6" name="PivotTable7"/>
  </pivotTables>
  <data>
    <olap pivotCacheId="88680375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3">
        <selection n="[calls].[Representative].&amp;[R01]"/>
        <selection n="[calls].[Representative].&amp;[R03]"/>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F6C272E-6F19-4C3D-A930-670E28E73CA5}" cache="Slicer_Representative" caption="Representativ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3"/>
    <tableColumn id="5" xr3:uid="{5A35565E-8707-4DED-AD15-A0669D67B382}" name="Date of Call" dataDxfId="32"/>
    <tableColumn id="6" xr3:uid="{F2E4F158-B41F-47BC-8DF8-DFCADFEE4E40}" name="Purchase Amount"/>
    <tableColumn id="7" xr3:uid="{04B291B5-47BD-4F78-8FD8-D1551CCA6BD9}" name="Satisfaction Rating"/>
    <tableColumn id="8" xr3:uid="{6E4123C0-0B17-43B8-A142-A1E540CE974C}" name="FY" dataDxfId="31">
      <calculatedColumnFormula>IF(MONTH(calls[[#This Row],[Date of Call]])&lt;=6, YEAR(calls[[#This Row],[Date of Call]]), YEAR(calls[[#This Row],[Date of Call]])+1)</calculatedColumnFormula>
    </tableColumn>
    <tableColumn id="9" xr3:uid="{199FA271-5E9B-46CE-9BC6-2801F92CD17E}" name="Day of week" dataDxfId="30">
      <calculatedColumnFormula>TEXT(calls[[#This Row],[Date of Call]],"DDDD")</calculatedColumnFormula>
    </tableColumn>
    <tableColumn id="10" xr3:uid="{328CDB09-95B8-4D5E-9ED9-EF0D363735A1}" name="Duration Bucket" dataDxfId="2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7" headerRowBorderDxfId="26" tableBorderDxfId="25" totalsRowBorderDxfId="24">
  <autoFilter ref="Q3:T18" xr:uid="{27158F51-A707-4171-8A04-81FB0AABCBA5}"/>
  <tableColumns count="4">
    <tableColumn id="1" xr3:uid="{02688061-6A8C-4E23-B7FF-D00CD8B58CAC}" name="Customer ID" dataDxfId="23"/>
    <tableColumn id="2" xr3:uid="{771678B6-DB44-426B-9874-B4E421A440D5}" name="Gedner" dataDxfId="22"/>
    <tableColumn id="3" xr3:uid="{B0D41C62-587E-494D-B49A-603F2C05F8D3}" name="Age" dataDxfId="21"/>
    <tableColumn id="4" xr3:uid="{663F92D6-FE31-4D81-9E01-8D066DDC8A88}" name="City" dataDxfId="2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Custom 2">
      <a:majorFont>
        <a:latin typeface="Cambria bold"/>
        <a:ea typeface=""/>
        <a:cs typeface=""/>
      </a:majorFont>
      <a:minorFont>
        <a:latin typeface="Cambria"/>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888B-DE7F-416F-A13A-9D8684A63752}">
  <dimension ref="A1:AB40"/>
  <sheetViews>
    <sheetView tabSelected="1" zoomScale="80" zoomScaleNormal="80" workbookViewId="0">
      <selection activeCell="Z24" sqref="Z24"/>
    </sheetView>
  </sheetViews>
  <sheetFormatPr defaultRowHeight="13.8" x14ac:dyDescent="0.25"/>
  <cols>
    <col min="1" max="1" width="4.5" customWidth="1"/>
    <col min="2" max="2" width="3.5" customWidth="1"/>
    <col min="5" max="5" width="4" customWidth="1"/>
    <col min="15" max="15" width="2.796875" customWidth="1"/>
    <col min="23" max="23" width="10.09765625" customWidth="1"/>
  </cols>
  <sheetData>
    <row r="1" spans="1:28" x14ac:dyDescent="0.2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row>
    <row r="2" spans="1:28" ht="27.6" x14ac:dyDescent="0.45">
      <c r="A2" s="20"/>
      <c r="B2" s="20"/>
      <c r="C2" s="31" t="s">
        <v>1079</v>
      </c>
      <c r="D2" s="31"/>
      <c r="E2" s="31"/>
      <c r="F2" s="31"/>
      <c r="G2" s="31"/>
      <c r="H2" s="31"/>
      <c r="I2" s="31"/>
      <c r="J2" s="31"/>
      <c r="K2" s="31"/>
      <c r="L2" s="31"/>
      <c r="M2" s="31"/>
      <c r="N2" s="31"/>
      <c r="O2" s="31"/>
      <c r="P2" s="31"/>
      <c r="Q2" s="31"/>
      <c r="R2" s="31"/>
      <c r="S2" s="31"/>
      <c r="T2" s="31"/>
      <c r="U2" s="31"/>
      <c r="V2" s="31"/>
      <c r="W2" s="31"/>
      <c r="X2" s="31"/>
      <c r="Y2" s="31"/>
      <c r="Z2" s="31"/>
      <c r="AA2" s="20"/>
      <c r="AB2" s="20"/>
    </row>
    <row r="3" spans="1:28"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row>
    <row r="4" spans="1:28"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row>
    <row r="5" spans="1:28"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row>
    <row r="6" spans="1:28"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row>
    <row r="7" spans="1:28"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row>
    <row r="8" spans="1:28"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row>
    <row r="9" spans="1:28"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row>
    <row r="10" spans="1:28"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row>
    <row r="11" spans="1:28"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row>
    <row r="12" spans="1:28"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row>
    <row r="13" spans="1:28"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row>
    <row r="14" spans="1:28"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row>
    <row r="15" spans="1:28"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row>
    <row r="16" spans="1:28"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row>
    <row r="17" spans="1:28"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row>
    <row r="18" spans="1:28"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row>
    <row r="19" spans="1:28" x14ac:dyDescent="0.2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row>
    <row r="20" spans="1:28" x14ac:dyDescent="0.25">
      <c r="A20" s="20"/>
      <c r="B20" s="20"/>
      <c r="C20" s="20"/>
      <c r="D20" s="20"/>
      <c r="E20" s="20"/>
      <c r="F20" s="20"/>
      <c r="G20" s="20"/>
      <c r="H20" s="20"/>
      <c r="I20" s="20"/>
      <c r="J20" s="20"/>
      <c r="K20" s="20"/>
      <c r="L20" s="20"/>
      <c r="M20" s="20"/>
      <c r="N20" s="20"/>
      <c r="O20" s="20"/>
      <c r="P20" s="20"/>
      <c r="Q20" s="20"/>
      <c r="R20" s="29" t="str" cm="1">
        <f t="array" ref="R20:V20">Pivots!B72:F72</f>
        <v>R01</v>
      </c>
      <c r="S20" s="29" t="str">
        <v>R02</v>
      </c>
      <c r="T20" s="29" t="str">
        <v>R03</v>
      </c>
      <c r="U20" s="29" t="str">
        <v>R04</v>
      </c>
      <c r="V20" s="29" t="str">
        <v>R05</v>
      </c>
      <c r="W20" s="29" t="s">
        <v>1048</v>
      </c>
      <c r="X20" s="20"/>
      <c r="Y20" s="20"/>
      <c r="Z20" s="20"/>
      <c r="AA20" s="20"/>
      <c r="AB20" s="20"/>
    </row>
    <row r="21" spans="1:28" x14ac:dyDescent="0.25">
      <c r="A21" s="20"/>
      <c r="B21" s="20"/>
      <c r="C21" s="20"/>
      <c r="D21" s="20"/>
      <c r="E21" s="20"/>
      <c r="F21" s="20"/>
      <c r="G21" s="20"/>
      <c r="H21" s="20"/>
      <c r="I21" s="20"/>
      <c r="J21" s="20"/>
      <c r="K21" s="20"/>
      <c r="L21" s="20"/>
      <c r="M21" s="20"/>
      <c r="N21" s="20"/>
      <c r="O21" s="20"/>
      <c r="P21" s="20"/>
      <c r="Q21" s="20" t="str" cm="1">
        <f t="array" ref="Q21:W38">IF(Pivots!A73:G90="","",Pivots!A73:G90)</f>
        <v>Cincinnati</v>
      </c>
      <c r="R21" s="20" t="str">
        <v/>
      </c>
      <c r="S21" s="20" t="str">
        <v/>
      </c>
      <c r="T21" s="20" t="str">
        <v/>
      </c>
      <c r="U21" s="20" t="str">
        <v/>
      </c>
      <c r="V21" s="20" t="str">
        <v/>
      </c>
      <c r="W21" s="20" t="str">
        <v/>
      </c>
      <c r="X21" s="20"/>
      <c r="Y21" s="20"/>
      <c r="Z21" s="20"/>
      <c r="AA21" s="20"/>
      <c r="AB21" s="20"/>
    </row>
    <row r="22" spans="1:28" x14ac:dyDescent="0.25">
      <c r="A22" s="20"/>
      <c r="B22" s="20"/>
      <c r="C22" s="20"/>
      <c r="D22" s="20"/>
      <c r="E22" s="20"/>
      <c r="F22" s="20"/>
      <c r="G22" s="20"/>
      <c r="H22" s="20"/>
      <c r="I22" s="20"/>
      <c r="J22" s="20"/>
      <c r="K22" s="20"/>
      <c r="L22" s="20"/>
      <c r="M22" s="20"/>
      <c r="N22" s="20"/>
      <c r="O22" s="20"/>
      <c r="P22" s="20"/>
      <c r="Q22" s="20" t="str">
        <v>C0003</v>
      </c>
      <c r="R22" s="30">
        <v>891</v>
      </c>
      <c r="S22" s="30">
        <v>1332</v>
      </c>
      <c r="T22" s="30">
        <v>1282</v>
      </c>
      <c r="U22" s="30">
        <v>739</v>
      </c>
      <c r="V22" s="30">
        <v>560</v>
      </c>
      <c r="W22" s="30">
        <v>4804</v>
      </c>
      <c r="X22" s="20"/>
      <c r="Y22" s="20"/>
      <c r="Z22" s="20"/>
      <c r="AA22" s="20"/>
      <c r="AB22" s="20"/>
    </row>
    <row r="23" spans="1:28" x14ac:dyDescent="0.25">
      <c r="A23" s="20"/>
      <c r="B23" s="20"/>
      <c r="C23" s="20"/>
      <c r="D23" s="20"/>
      <c r="E23" s="20"/>
      <c r="F23" s="20"/>
      <c r="G23" s="20"/>
      <c r="H23" s="20"/>
      <c r="I23" s="20"/>
      <c r="J23" s="20"/>
      <c r="K23" s="20"/>
      <c r="L23" s="20"/>
      <c r="M23" s="20"/>
      <c r="N23" s="20"/>
      <c r="O23" s="20"/>
      <c r="P23" s="20"/>
      <c r="Q23" s="20" t="str">
        <v>C0004</v>
      </c>
      <c r="R23" s="30">
        <v>1991</v>
      </c>
      <c r="S23" s="30">
        <v>1886</v>
      </c>
      <c r="T23" s="30">
        <v>1206</v>
      </c>
      <c r="U23" s="30">
        <v>884</v>
      </c>
      <c r="V23" s="30">
        <v>1722</v>
      </c>
      <c r="W23" s="30">
        <v>7689</v>
      </c>
      <c r="X23" s="20"/>
      <c r="Y23" s="20"/>
      <c r="Z23" s="20"/>
      <c r="AA23" s="20"/>
      <c r="AB23" s="20"/>
    </row>
    <row r="24" spans="1:28" x14ac:dyDescent="0.25">
      <c r="A24" s="20"/>
      <c r="B24" s="20"/>
      <c r="C24" s="20"/>
      <c r="D24" s="20"/>
      <c r="E24" s="20"/>
      <c r="F24" s="20"/>
      <c r="G24" s="20"/>
      <c r="H24" s="20"/>
      <c r="I24" s="20"/>
      <c r="J24" s="20"/>
      <c r="K24" s="20"/>
      <c r="L24" s="20"/>
      <c r="M24" s="20"/>
      <c r="N24" s="20"/>
      <c r="O24" s="20"/>
      <c r="P24" s="20"/>
      <c r="Q24" s="20" t="str">
        <v>C0011</v>
      </c>
      <c r="R24" s="30">
        <v>1163</v>
      </c>
      <c r="S24" s="30">
        <v>1180</v>
      </c>
      <c r="T24" s="30">
        <v>1616</v>
      </c>
      <c r="U24" s="30">
        <v>1043</v>
      </c>
      <c r="V24" s="30">
        <v>1747</v>
      </c>
      <c r="W24" s="30">
        <v>6749</v>
      </c>
      <c r="X24" s="20"/>
      <c r="Y24" s="20"/>
      <c r="Z24" s="20"/>
      <c r="AA24" s="20"/>
      <c r="AB24" s="20"/>
    </row>
    <row r="25" spans="1:28" x14ac:dyDescent="0.25">
      <c r="A25" s="20"/>
      <c r="B25" s="20"/>
      <c r="C25" s="20"/>
      <c r="D25" s="20"/>
      <c r="E25" s="20"/>
      <c r="F25" s="20"/>
      <c r="G25" s="20"/>
      <c r="H25" s="20"/>
      <c r="I25" s="20"/>
      <c r="J25" s="20"/>
      <c r="K25" s="20"/>
      <c r="L25" s="20"/>
      <c r="M25" s="20"/>
      <c r="N25" s="20"/>
      <c r="O25" s="20"/>
      <c r="P25" s="20"/>
      <c r="Q25" s="20" t="str">
        <v>C0012</v>
      </c>
      <c r="R25" s="30">
        <v>1438</v>
      </c>
      <c r="S25" s="30">
        <v>1616</v>
      </c>
      <c r="T25" s="30">
        <v>866</v>
      </c>
      <c r="U25" s="30">
        <v>829</v>
      </c>
      <c r="V25" s="30">
        <v>2070</v>
      </c>
      <c r="W25" s="30">
        <v>6819</v>
      </c>
      <c r="X25" s="20"/>
      <c r="Y25" s="20"/>
      <c r="Z25" s="20"/>
      <c r="AA25" s="20"/>
      <c r="AB25" s="20"/>
    </row>
    <row r="26" spans="1:28" x14ac:dyDescent="0.25">
      <c r="A26" s="20"/>
      <c r="B26" s="20"/>
      <c r="C26" s="20"/>
      <c r="D26" s="20"/>
      <c r="E26" s="20"/>
      <c r="F26" s="20"/>
      <c r="G26" s="20"/>
      <c r="H26" s="20"/>
      <c r="I26" s="20"/>
      <c r="J26" s="20"/>
      <c r="K26" s="20"/>
      <c r="L26" s="20"/>
      <c r="M26" s="20"/>
      <c r="N26" s="20"/>
      <c r="O26" s="20"/>
      <c r="P26" s="20"/>
      <c r="Q26" s="20" t="str">
        <v>Cleveland</v>
      </c>
      <c r="R26" s="30" t="str">
        <v/>
      </c>
      <c r="S26" s="30" t="str">
        <v/>
      </c>
      <c r="T26" s="30" t="str">
        <v/>
      </c>
      <c r="U26" s="30" t="str">
        <v/>
      </c>
      <c r="V26" s="30" t="str">
        <v/>
      </c>
      <c r="W26" s="30" t="str">
        <v/>
      </c>
      <c r="X26" s="20"/>
      <c r="Y26" s="20"/>
      <c r="Z26" s="20"/>
      <c r="AA26" s="20"/>
      <c r="AB26" s="20"/>
    </row>
    <row r="27" spans="1:28" x14ac:dyDescent="0.25">
      <c r="A27" s="20"/>
      <c r="B27" s="20"/>
      <c r="C27" s="20"/>
      <c r="D27" s="20"/>
      <c r="E27" s="20"/>
      <c r="F27" s="20"/>
      <c r="G27" s="20"/>
      <c r="H27" s="20"/>
      <c r="I27" s="20"/>
      <c r="J27" s="20"/>
      <c r="K27" s="20"/>
      <c r="L27" s="20"/>
      <c r="M27" s="20"/>
      <c r="N27" s="20"/>
      <c r="O27" s="20"/>
      <c r="P27" s="20"/>
      <c r="Q27" s="20" t="str">
        <v>C0002</v>
      </c>
      <c r="R27" s="30">
        <v>1233</v>
      </c>
      <c r="S27" s="30">
        <v>223</v>
      </c>
      <c r="T27" s="30">
        <v>1680</v>
      </c>
      <c r="U27" s="30">
        <v>990</v>
      </c>
      <c r="V27" s="30">
        <v>1508</v>
      </c>
      <c r="W27" s="30">
        <v>5634</v>
      </c>
      <c r="X27" s="20"/>
      <c r="Y27" s="20"/>
      <c r="Z27" s="20"/>
      <c r="AA27" s="20"/>
      <c r="AB27" s="20"/>
    </row>
    <row r="28" spans="1:28" x14ac:dyDescent="0.25">
      <c r="A28" s="20"/>
      <c r="B28" s="20"/>
      <c r="C28" s="20"/>
      <c r="D28" s="20"/>
      <c r="E28" s="20"/>
      <c r="F28" s="20"/>
      <c r="G28" s="20"/>
      <c r="H28" s="20"/>
      <c r="I28" s="20"/>
      <c r="J28" s="20"/>
      <c r="K28" s="20"/>
      <c r="L28" s="20"/>
      <c r="M28" s="20"/>
      <c r="N28" s="20"/>
      <c r="O28" s="20"/>
      <c r="P28" s="20"/>
      <c r="Q28" s="20" t="str">
        <v>C0007</v>
      </c>
      <c r="R28" s="30">
        <v>1598</v>
      </c>
      <c r="S28" s="30">
        <v>1907</v>
      </c>
      <c r="T28" s="30">
        <v>869</v>
      </c>
      <c r="U28" s="30">
        <v>1426</v>
      </c>
      <c r="V28" s="30">
        <v>1416</v>
      </c>
      <c r="W28" s="30">
        <v>7216</v>
      </c>
      <c r="X28" s="20"/>
      <c r="Y28" s="20"/>
      <c r="Z28" s="20"/>
      <c r="AA28" s="20"/>
      <c r="AB28" s="20"/>
    </row>
    <row r="29" spans="1:28" x14ac:dyDescent="0.25">
      <c r="A29" s="20"/>
      <c r="B29" s="20"/>
      <c r="C29" s="20"/>
      <c r="D29" s="20"/>
      <c r="E29" s="20"/>
      <c r="F29" s="20"/>
      <c r="G29" s="20"/>
      <c r="H29" s="20"/>
      <c r="I29" s="20"/>
      <c r="J29" s="20"/>
      <c r="K29" s="20"/>
      <c r="L29" s="20"/>
      <c r="M29" s="20"/>
      <c r="N29" s="20"/>
      <c r="O29" s="20"/>
      <c r="P29" s="20"/>
      <c r="Q29" s="20" t="str">
        <v>C0008</v>
      </c>
      <c r="R29" s="30">
        <v>900</v>
      </c>
      <c r="S29" s="30">
        <v>1016</v>
      </c>
      <c r="T29" s="30">
        <v>960</v>
      </c>
      <c r="U29" s="30">
        <v>940</v>
      </c>
      <c r="V29" s="30">
        <v>1193</v>
      </c>
      <c r="W29" s="30">
        <v>5009</v>
      </c>
      <c r="X29" s="20"/>
      <c r="Y29" s="20"/>
      <c r="Z29" s="20"/>
      <c r="AA29" s="20"/>
      <c r="AB29" s="20"/>
    </row>
    <row r="30" spans="1:28" x14ac:dyDescent="0.25">
      <c r="A30" s="20"/>
      <c r="B30" s="20"/>
      <c r="C30" s="20"/>
      <c r="D30" s="20"/>
      <c r="E30" s="20"/>
      <c r="F30" s="20"/>
      <c r="G30" s="20"/>
      <c r="H30" s="20"/>
      <c r="I30" s="20"/>
      <c r="J30" s="20"/>
      <c r="K30" s="20"/>
      <c r="L30" s="20"/>
      <c r="M30" s="20"/>
      <c r="N30" s="20"/>
      <c r="O30" s="20"/>
      <c r="P30" s="20"/>
      <c r="Q30" s="20" t="str">
        <v>C0010</v>
      </c>
      <c r="R30" s="30">
        <v>900</v>
      </c>
      <c r="S30" s="30">
        <v>1470</v>
      </c>
      <c r="T30" s="30">
        <v>1617</v>
      </c>
      <c r="U30" s="30">
        <v>1314</v>
      </c>
      <c r="V30" s="30">
        <v>941</v>
      </c>
      <c r="W30" s="30">
        <v>6242</v>
      </c>
      <c r="X30" s="20"/>
      <c r="Y30" s="20"/>
      <c r="Z30" s="20"/>
      <c r="AA30" s="20"/>
      <c r="AB30" s="20"/>
    </row>
    <row r="31" spans="1:28" x14ac:dyDescent="0.25">
      <c r="A31" s="20"/>
      <c r="B31" s="20"/>
      <c r="C31" s="20"/>
      <c r="D31" s="20"/>
      <c r="E31" s="20"/>
      <c r="F31" s="20"/>
      <c r="G31" s="20"/>
      <c r="H31" s="20"/>
      <c r="I31" s="20"/>
      <c r="J31" s="20"/>
      <c r="K31" s="20"/>
      <c r="L31" s="20"/>
      <c r="M31" s="20"/>
      <c r="N31" s="20"/>
      <c r="O31" s="20"/>
      <c r="P31" s="20"/>
      <c r="Q31" s="20" t="str">
        <v>C0013</v>
      </c>
      <c r="R31" s="30">
        <v>1255</v>
      </c>
      <c r="S31" s="30">
        <v>516</v>
      </c>
      <c r="T31" s="30">
        <v>1874</v>
      </c>
      <c r="U31" s="30">
        <v>1863</v>
      </c>
      <c r="V31" s="30">
        <v>1722</v>
      </c>
      <c r="W31" s="30">
        <v>7230</v>
      </c>
      <c r="X31" s="20"/>
      <c r="Y31" s="20"/>
      <c r="Z31" s="20"/>
      <c r="AA31" s="20"/>
      <c r="AB31" s="20"/>
    </row>
    <row r="32" spans="1:28" x14ac:dyDescent="0.25">
      <c r="A32" s="20"/>
      <c r="B32" s="20"/>
      <c r="C32" s="20"/>
      <c r="D32" s="20"/>
      <c r="E32" s="20"/>
      <c r="F32" s="20"/>
      <c r="G32" s="20"/>
      <c r="H32" s="20"/>
      <c r="I32" s="20"/>
      <c r="J32" s="20"/>
      <c r="K32" s="20"/>
      <c r="L32" s="20"/>
      <c r="M32" s="20"/>
      <c r="N32" s="20"/>
      <c r="O32" s="20"/>
      <c r="P32" s="20"/>
      <c r="Q32" s="20" t="str">
        <v>C0015</v>
      </c>
      <c r="R32" s="30">
        <v>1138</v>
      </c>
      <c r="S32" s="30">
        <v>1898</v>
      </c>
      <c r="T32" s="30">
        <v>1482</v>
      </c>
      <c r="U32" s="30">
        <v>846</v>
      </c>
      <c r="V32" s="30">
        <v>1154</v>
      </c>
      <c r="W32" s="30">
        <v>6518</v>
      </c>
      <c r="X32" s="20"/>
      <c r="Y32" s="20"/>
      <c r="Z32" s="20"/>
      <c r="AA32" s="20"/>
      <c r="AB32" s="20"/>
    </row>
    <row r="33" spans="1:28" x14ac:dyDescent="0.25">
      <c r="A33" s="20"/>
      <c r="B33" s="20"/>
      <c r="C33" s="20"/>
      <c r="D33" s="20"/>
      <c r="E33" s="20"/>
      <c r="F33" s="20"/>
      <c r="G33" s="20"/>
      <c r="H33" s="20"/>
      <c r="I33" s="20"/>
      <c r="J33" s="20"/>
      <c r="K33" s="20"/>
      <c r="L33" s="20"/>
      <c r="M33" s="20"/>
      <c r="N33" s="20"/>
      <c r="O33" s="20"/>
      <c r="P33" s="20"/>
      <c r="Q33" s="20" t="str">
        <v>Columbus</v>
      </c>
      <c r="R33" s="30" t="str">
        <v/>
      </c>
      <c r="S33" s="30" t="str">
        <v/>
      </c>
      <c r="T33" s="30" t="str">
        <v/>
      </c>
      <c r="U33" s="30" t="str">
        <v/>
      </c>
      <c r="V33" s="30" t="str">
        <v/>
      </c>
      <c r="W33" s="30" t="str">
        <v/>
      </c>
      <c r="X33" s="20"/>
      <c r="Y33" s="20"/>
      <c r="Z33" s="20"/>
      <c r="AA33" s="20"/>
      <c r="AB33" s="20"/>
    </row>
    <row r="34" spans="1:28" x14ac:dyDescent="0.25">
      <c r="A34" s="20"/>
      <c r="B34" s="20"/>
      <c r="C34" s="20"/>
      <c r="D34" s="20"/>
      <c r="E34" s="20"/>
      <c r="F34" s="20"/>
      <c r="G34" s="20"/>
      <c r="H34" s="20"/>
      <c r="I34" s="20"/>
      <c r="J34" s="20"/>
      <c r="K34" s="20"/>
      <c r="L34" s="20"/>
      <c r="M34" s="20"/>
      <c r="N34" s="20"/>
      <c r="O34" s="20"/>
      <c r="P34" s="20"/>
      <c r="Q34" s="20" t="str">
        <v>C0001</v>
      </c>
      <c r="R34" s="30">
        <v>1655</v>
      </c>
      <c r="S34" s="30">
        <v>805</v>
      </c>
      <c r="T34" s="30">
        <v>2263</v>
      </c>
      <c r="U34" s="30">
        <v>987</v>
      </c>
      <c r="V34" s="30">
        <v>1075</v>
      </c>
      <c r="W34" s="30">
        <v>6785</v>
      </c>
      <c r="X34" s="20"/>
      <c r="Y34" s="20"/>
      <c r="Z34" s="20"/>
      <c r="AA34" s="20"/>
      <c r="AB34" s="20"/>
    </row>
    <row r="35" spans="1:28" x14ac:dyDescent="0.25">
      <c r="A35" s="20"/>
      <c r="B35" s="20"/>
      <c r="C35" s="20"/>
      <c r="D35" s="20"/>
      <c r="E35" s="20"/>
      <c r="F35" s="20"/>
      <c r="G35" s="20"/>
      <c r="H35" s="20"/>
      <c r="I35" s="20"/>
      <c r="J35" s="20"/>
      <c r="K35" s="20"/>
      <c r="L35" s="20"/>
      <c r="M35" s="20"/>
      <c r="N35" s="20"/>
      <c r="O35" s="20"/>
      <c r="P35" s="20"/>
      <c r="Q35" s="20" t="str">
        <v>C0005</v>
      </c>
      <c r="R35" s="30">
        <v>1104</v>
      </c>
      <c r="S35" s="30">
        <v>2280</v>
      </c>
      <c r="T35" s="30">
        <v>1445</v>
      </c>
      <c r="U35" s="30">
        <v>1722</v>
      </c>
      <c r="V35" s="30">
        <v>1196</v>
      </c>
      <c r="W35" s="30">
        <v>7747</v>
      </c>
      <c r="X35" s="20"/>
      <c r="Y35" s="20"/>
      <c r="Z35" s="20"/>
      <c r="AA35" s="20"/>
      <c r="AB35" s="20"/>
    </row>
    <row r="36" spans="1:28" x14ac:dyDescent="0.25">
      <c r="A36" s="20"/>
      <c r="B36" s="20"/>
      <c r="C36" s="20"/>
      <c r="D36" s="20"/>
      <c r="E36" s="20"/>
      <c r="F36" s="20"/>
      <c r="G36" s="20"/>
      <c r="H36" s="20"/>
      <c r="I36" s="20"/>
      <c r="J36" s="20"/>
      <c r="K36" s="20"/>
      <c r="L36" s="20"/>
      <c r="M36" s="20"/>
      <c r="N36" s="20"/>
      <c r="O36" s="20"/>
      <c r="P36" s="20"/>
      <c r="Q36" s="20" t="str">
        <v>C0006</v>
      </c>
      <c r="R36" s="30">
        <v>372</v>
      </c>
      <c r="S36" s="30">
        <v>1818</v>
      </c>
      <c r="T36" s="30">
        <v>1346</v>
      </c>
      <c r="U36" s="30">
        <v>1156</v>
      </c>
      <c r="V36" s="30">
        <v>1484</v>
      </c>
      <c r="W36" s="30">
        <v>6176</v>
      </c>
      <c r="X36" s="20"/>
      <c r="Y36" s="20"/>
      <c r="Z36" s="20"/>
      <c r="AA36" s="20"/>
      <c r="AB36" s="20"/>
    </row>
    <row r="37" spans="1:28" x14ac:dyDescent="0.25">
      <c r="A37" s="20"/>
      <c r="B37" s="20"/>
      <c r="C37" s="20"/>
      <c r="D37" s="20"/>
      <c r="E37" s="20"/>
      <c r="F37" s="20"/>
      <c r="G37" s="20"/>
      <c r="H37" s="20"/>
      <c r="I37" s="20"/>
      <c r="J37" s="20"/>
      <c r="K37" s="20"/>
      <c r="L37" s="20"/>
      <c r="M37" s="20"/>
      <c r="N37" s="20"/>
      <c r="O37" s="20"/>
      <c r="P37" s="20"/>
      <c r="Q37" s="20" t="str">
        <v>C0009</v>
      </c>
      <c r="R37" s="30">
        <v>1415</v>
      </c>
      <c r="S37" s="30">
        <v>1271</v>
      </c>
      <c r="T37" s="30">
        <v>1214</v>
      </c>
      <c r="U37" s="30">
        <v>1135</v>
      </c>
      <c r="V37" s="30">
        <v>1566</v>
      </c>
      <c r="W37" s="30">
        <v>6601</v>
      </c>
      <c r="X37" s="20"/>
      <c r="Y37" s="20"/>
      <c r="Z37" s="20"/>
      <c r="AA37" s="20"/>
      <c r="AB37" s="20"/>
    </row>
    <row r="38" spans="1:28" x14ac:dyDescent="0.25">
      <c r="A38" s="20"/>
      <c r="B38" s="20"/>
      <c r="C38" s="20"/>
      <c r="D38" s="20"/>
      <c r="E38" s="20"/>
      <c r="F38" s="20"/>
      <c r="G38" s="20"/>
      <c r="H38" s="20"/>
      <c r="I38" s="20"/>
      <c r="J38" s="20"/>
      <c r="K38" s="20"/>
      <c r="L38" s="20"/>
      <c r="M38" s="20"/>
      <c r="N38" s="20"/>
      <c r="O38" s="20"/>
      <c r="P38" s="20"/>
      <c r="Q38" s="20" t="str">
        <v>C0014</v>
      </c>
      <c r="R38" s="30">
        <v>1362</v>
      </c>
      <c r="S38" s="30">
        <v>1363</v>
      </c>
      <c r="T38" s="30">
        <v>1152</v>
      </c>
      <c r="U38" s="30">
        <v>777</v>
      </c>
      <c r="V38" s="30">
        <v>750</v>
      </c>
      <c r="W38" s="30">
        <v>5404</v>
      </c>
      <c r="X38" s="20"/>
      <c r="Y38" s="20"/>
      <c r="Z38" s="20"/>
      <c r="AA38" s="20"/>
      <c r="AB38" s="20"/>
    </row>
    <row r="39" spans="1:28"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row>
    <row r="40" spans="1:28"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row>
  </sheetData>
  <mergeCells count="1">
    <mergeCell ref="C2:Z2"/>
  </mergeCells>
  <conditionalFormatting sqref="R22:W38">
    <cfRule type="dataBar" priority="3">
      <dataBar>
        <cfvo type="num" val="0"/>
        <cfvo type="formula" val="MAX($R$22:$V$38)*2"/>
        <color rgb="FFFF555A"/>
      </dataBar>
      <extLst>
        <ext xmlns:x14="http://schemas.microsoft.com/office/spreadsheetml/2009/9/main" uri="{B025F937-C7B1-47D3-B67F-A62EFF666E3E}">
          <x14:id>{67E1AE9F-14BA-408E-9B1E-436A777D4E0F}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B94DE6EF-185C-48D7-8261-86779CF2350F}">
            <xm:f>R$20+Pivots!$A$45</xm:f>
            <x14:dxf>
              <fill>
                <patternFill>
                  <bgColor theme="5" tint="0.59996337778862885"/>
                </patternFill>
              </fill>
              <border>
                <left style="thin">
                  <color auto="1"/>
                </left>
                <right style="thin">
                  <color auto="1"/>
                </right>
                <top style="thin">
                  <color auto="1"/>
                </top>
                <bottom style="thin">
                  <color auto="1"/>
                </bottom>
                <vertical/>
                <horizontal/>
              </border>
            </x14:dxf>
          </x14:cfRule>
          <x14:cfRule type="expression" priority="2" id="{B2F6EA8A-356F-464D-A01D-5E2F661687D0}">
            <xm:f>$R$22=Pivots!$A$45</xm:f>
            <x14:dxf>
              <fill>
                <patternFill>
                  <bgColor theme="5" tint="0.59996337778862885"/>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x14:dxf>
          </x14:cfRule>
          <xm:sqref>R20:V38</xm:sqref>
        </x14:conditionalFormatting>
        <x14:conditionalFormatting xmlns:xm="http://schemas.microsoft.com/office/excel/2006/main">
          <x14:cfRule type="dataBar" id="{67E1AE9F-14BA-408E-9B1E-436A777D4E0F}">
            <x14:dataBar minLength="0" maxLength="100" gradient="0">
              <x14:cfvo type="num">
                <xm:f>0</xm:f>
              </x14:cfvo>
              <x14:cfvo type="formula">
                <xm:f>MAX($R$22:$V$38)*2</xm:f>
              </x14:cfvo>
              <x14:negativeFillColor rgb="FFFF0000"/>
              <x14:axisColor rgb="FF000000"/>
            </x14:dataBar>
          </x14:cfRule>
          <xm:sqref>R22:W38</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70" zoomScaleNormal="70" workbookViewId="0">
      <selection activeCell="C6" sqref="C6"/>
    </sheetView>
  </sheetViews>
  <sheetFormatPr defaultRowHeight="13.8" x14ac:dyDescent="0.25"/>
  <cols>
    <col min="1" max="1" width="3.19921875" customWidth="1"/>
    <col min="2" max="2" width="14.59765625" customWidth="1"/>
    <col min="3" max="3" width="12.8984375" customWidth="1"/>
    <col min="4" max="4" width="16.59765625" customWidth="1"/>
    <col min="5" max="5" width="15" customWidth="1"/>
    <col min="6" max="6" width="16.09765625" customWidth="1"/>
    <col min="7" max="7" width="17.296875" customWidth="1"/>
    <col min="8" max="8" width="18.3984375" customWidth="1"/>
    <col min="9" max="9" width="17.296875" customWidth="1"/>
    <col min="10" max="12" width="15.5" customWidth="1"/>
    <col min="13" max="16" width="7.5" customWidth="1"/>
    <col min="17" max="17" width="14.59765625" customWidth="1"/>
    <col min="20" max="20" width="10.59765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B37BE-0F6A-4F8C-9700-FF06CD72A51C}">
  <dimension ref="A3:J90"/>
  <sheetViews>
    <sheetView topLeftCell="A73" workbookViewId="0">
      <selection activeCell="A73" sqref="A73:G90"/>
    </sheetView>
  </sheetViews>
  <sheetFormatPr defaultRowHeight="13.8" x14ac:dyDescent="0.25"/>
  <cols>
    <col min="1" max="1" width="11" bestFit="1" customWidth="1"/>
    <col min="2" max="2" width="9.3984375" bestFit="1" customWidth="1"/>
    <col min="3" max="3" width="10.5" bestFit="1" customWidth="1"/>
    <col min="4" max="4" width="13.796875" bestFit="1" customWidth="1"/>
    <col min="5" max="5" width="7.19921875" bestFit="1" customWidth="1"/>
    <col min="6" max="6" width="6.19921875" bestFit="1" customWidth="1"/>
    <col min="7" max="8" width="12.3984375" bestFit="1" customWidth="1"/>
    <col min="9" max="9" width="9.3984375" bestFit="1" customWidth="1"/>
  </cols>
  <sheetData>
    <row r="3" spans="1:8" x14ac:dyDescent="0.25">
      <c r="A3" t="s">
        <v>1042</v>
      </c>
      <c r="B3" t="s">
        <v>1043</v>
      </c>
      <c r="C3" t="s">
        <v>1044</v>
      </c>
      <c r="D3" t="s">
        <v>1045</v>
      </c>
      <c r="E3" t="s">
        <v>1046</v>
      </c>
    </row>
    <row r="4" spans="1:8" x14ac:dyDescent="0.25">
      <c r="A4" s="21">
        <v>1000</v>
      </c>
      <c r="B4" s="22">
        <v>96623</v>
      </c>
      <c r="C4" s="21">
        <v>89850</v>
      </c>
      <c r="D4" s="23">
        <v>3.8854000000000033</v>
      </c>
      <c r="E4" s="21">
        <v>307</v>
      </c>
    </row>
    <row r="9" spans="1:8" x14ac:dyDescent="0.25">
      <c r="A9" t="s">
        <v>1042</v>
      </c>
      <c r="B9" t="s">
        <v>1043</v>
      </c>
      <c r="C9" t="s">
        <v>1044</v>
      </c>
      <c r="D9" t="s">
        <v>1045</v>
      </c>
      <c r="E9" t="s">
        <v>1046</v>
      </c>
    </row>
    <row r="10" spans="1:8" x14ac:dyDescent="0.25">
      <c r="A10" s="21">
        <v>596</v>
      </c>
      <c r="B10" s="22">
        <v>59391</v>
      </c>
      <c r="C10" s="21">
        <v>52743</v>
      </c>
      <c r="D10" s="23">
        <v>3.887080536912753</v>
      </c>
      <c r="E10" s="21">
        <v>171</v>
      </c>
    </row>
    <row r="14" spans="1:8" x14ac:dyDescent="0.25">
      <c r="A14" s="24" t="s">
        <v>1047</v>
      </c>
      <c r="B14" t="s">
        <v>1042</v>
      </c>
      <c r="C14" t="s">
        <v>1061</v>
      </c>
      <c r="G14" s="24" t="s">
        <v>1047</v>
      </c>
      <c r="H14" t="s">
        <v>1042</v>
      </c>
    </row>
    <row r="15" spans="1:8" x14ac:dyDescent="0.25">
      <c r="A15" s="25" t="s">
        <v>1049</v>
      </c>
      <c r="B15" s="21">
        <v>50</v>
      </c>
      <c r="C15" s="21">
        <v>50</v>
      </c>
      <c r="G15" s="25" t="s">
        <v>1063</v>
      </c>
      <c r="H15" s="21">
        <v>86</v>
      </c>
    </row>
    <row r="16" spans="1:8" x14ac:dyDescent="0.25">
      <c r="A16" s="25" t="s">
        <v>1050</v>
      </c>
      <c r="B16" s="21">
        <v>45</v>
      </c>
      <c r="C16" s="21">
        <v>45</v>
      </c>
      <c r="G16" s="25" t="s">
        <v>1067</v>
      </c>
      <c r="H16" s="21">
        <v>66</v>
      </c>
    </row>
    <row r="17" spans="1:10" x14ac:dyDescent="0.25">
      <c r="A17" s="25" t="s">
        <v>1051</v>
      </c>
      <c r="B17" s="21">
        <v>85</v>
      </c>
      <c r="C17" s="21">
        <v>85</v>
      </c>
      <c r="G17" s="25" t="s">
        <v>1068</v>
      </c>
      <c r="H17" s="21">
        <v>88</v>
      </c>
    </row>
    <row r="18" spans="1:10" x14ac:dyDescent="0.25">
      <c r="A18" s="25" t="s">
        <v>1052</v>
      </c>
      <c r="B18" s="21">
        <v>73</v>
      </c>
      <c r="C18" s="21">
        <v>73</v>
      </c>
      <c r="G18" s="25" t="s">
        <v>1066</v>
      </c>
      <c r="H18" s="21">
        <v>77</v>
      </c>
    </row>
    <row r="19" spans="1:10" x14ac:dyDescent="0.25">
      <c r="A19" s="25" t="s">
        <v>1053</v>
      </c>
      <c r="B19" s="21">
        <v>48</v>
      </c>
      <c r="C19" s="21">
        <v>48</v>
      </c>
      <c r="G19" s="25" t="s">
        <v>1062</v>
      </c>
      <c r="H19" s="21">
        <v>83</v>
      </c>
    </row>
    <row r="20" spans="1:10" x14ac:dyDescent="0.25">
      <c r="A20" s="25" t="s">
        <v>1054</v>
      </c>
      <c r="B20" s="21">
        <v>44</v>
      </c>
      <c r="C20" s="21">
        <v>44</v>
      </c>
      <c r="G20" s="25" t="s">
        <v>1064</v>
      </c>
      <c r="H20" s="21">
        <v>103</v>
      </c>
    </row>
    <row r="21" spans="1:10" x14ac:dyDescent="0.25">
      <c r="A21" s="25" t="s">
        <v>1055</v>
      </c>
      <c r="B21" s="21">
        <v>38</v>
      </c>
      <c r="C21" s="21">
        <v>38</v>
      </c>
      <c r="G21" s="25" t="s">
        <v>1065</v>
      </c>
      <c r="H21" s="21">
        <v>93</v>
      </c>
    </row>
    <row r="22" spans="1:10" x14ac:dyDescent="0.25">
      <c r="A22" s="25" t="s">
        <v>1056</v>
      </c>
      <c r="B22" s="21">
        <v>25</v>
      </c>
      <c r="C22" s="21">
        <v>25</v>
      </c>
      <c r="G22" s="25" t="s">
        <v>1048</v>
      </c>
      <c r="H22" s="21">
        <v>596</v>
      </c>
    </row>
    <row r="23" spans="1:10" x14ac:dyDescent="0.25">
      <c r="A23" s="25" t="s">
        <v>1057</v>
      </c>
      <c r="B23" s="21">
        <v>45</v>
      </c>
      <c r="C23" s="21">
        <v>45</v>
      </c>
    </row>
    <row r="24" spans="1:10" x14ac:dyDescent="0.25">
      <c r="A24" s="25" t="s">
        <v>1058</v>
      </c>
      <c r="B24" s="21">
        <v>78</v>
      </c>
      <c r="C24" s="21">
        <v>78</v>
      </c>
    </row>
    <row r="25" spans="1:10" x14ac:dyDescent="0.25">
      <c r="A25" s="25" t="s">
        <v>1059</v>
      </c>
      <c r="B25" s="21">
        <v>35</v>
      </c>
      <c r="C25" s="21">
        <v>35</v>
      </c>
    </row>
    <row r="26" spans="1:10" x14ac:dyDescent="0.25">
      <c r="A26" s="25" t="s">
        <v>1060</v>
      </c>
      <c r="B26" s="21">
        <v>30</v>
      </c>
      <c r="C26" s="21">
        <v>30</v>
      </c>
    </row>
    <row r="27" spans="1:10" x14ac:dyDescent="0.25">
      <c r="A27" s="25" t="s">
        <v>1048</v>
      </c>
      <c r="B27" s="21">
        <v>596</v>
      </c>
      <c r="C27" s="21">
        <v>596</v>
      </c>
    </row>
    <row r="30" spans="1:10" x14ac:dyDescent="0.25">
      <c r="F30" t="s">
        <v>1069</v>
      </c>
      <c r="I30" t="s">
        <v>1075</v>
      </c>
      <c r="J30" t="str">
        <f>A45</f>
        <v>R01</v>
      </c>
    </row>
    <row r="31" spans="1:10" x14ac:dyDescent="0.25">
      <c r="F31" t="s">
        <v>1070</v>
      </c>
      <c r="G31" t="s">
        <v>1072</v>
      </c>
      <c r="H31" t="s">
        <v>1071</v>
      </c>
      <c r="I31" t="s">
        <v>1073</v>
      </c>
      <c r="J31" t="s">
        <v>1074</v>
      </c>
    </row>
    <row r="32" spans="1:10" x14ac:dyDescent="0.25">
      <c r="A32" s="24" t="s">
        <v>1047</v>
      </c>
      <c r="B32" t="s">
        <v>1042</v>
      </c>
      <c r="C32" t="s">
        <v>1043</v>
      </c>
      <c r="F32" t="str" cm="1">
        <f t="array" ref="F32:H36">A33:C37</f>
        <v>R01</v>
      </c>
      <c r="G32">
        <v>189</v>
      </c>
      <c r="H32" s="26">
        <v>18415</v>
      </c>
      <c r="I32">
        <f>IF(F32=$J$30,G32,NA())</f>
        <v>189</v>
      </c>
      <c r="J32">
        <f>IF(F32=$J$30,H32,NA())</f>
        <v>18415</v>
      </c>
    </row>
    <row r="33" spans="1:10" x14ac:dyDescent="0.25">
      <c r="A33" s="25" t="s">
        <v>11</v>
      </c>
      <c r="B33" s="21">
        <v>189</v>
      </c>
      <c r="C33" s="22">
        <v>18415</v>
      </c>
      <c r="F33" t="str">
        <v>R02</v>
      </c>
      <c r="G33">
        <v>218</v>
      </c>
      <c r="H33" s="26">
        <v>20581</v>
      </c>
      <c r="I33" t="e">
        <f t="shared" ref="I33:I36" si="0">IF(F33=$J$30,G33,NA())</f>
        <v>#N/A</v>
      </c>
      <c r="J33" t="e">
        <f t="shared" ref="J33:J36" si="1">IF(F33=$J$30,H33,NA())</f>
        <v>#N/A</v>
      </c>
    </row>
    <row r="34" spans="1:10" x14ac:dyDescent="0.25">
      <c r="A34" s="25" t="s">
        <v>9</v>
      </c>
      <c r="B34" s="21">
        <v>218</v>
      </c>
      <c r="C34" s="22">
        <v>20581</v>
      </c>
      <c r="F34" t="str">
        <v>R03</v>
      </c>
      <c r="G34">
        <v>207</v>
      </c>
      <c r="H34" s="26">
        <v>20872</v>
      </c>
      <c r="I34" t="e">
        <f t="shared" si="0"/>
        <v>#N/A</v>
      </c>
      <c r="J34" t="e">
        <f t="shared" si="1"/>
        <v>#N/A</v>
      </c>
    </row>
    <row r="35" spans="1:10" x14ac:dyDescent="0.25">
      <c r="A35" s="25" t="s">
        <v>6</v>
      </c>
      <c r="B35" s="21">
        <v>207</v>
      </c>
      <c r="C35" s="22">
        <v>20872</v>
      </c>
      <c r="F35" t="str">
        <v>R04</v>
      </c>
      <c r="G35">
        <v>186</v>
      </c>
      <c r="H35" s="26">
        <v>16651</v>
      </c>
      <c r="I35" t="e">
        <f t="shared" si="0"/>
        <v>#N/A</v>
      </c>
      <c r="J35" t="e">
        <f t="shared" si="1"/>
        <v>#N/A</v>
      </c>
    </row>
    <row r="36" spans="1:10" x14ac:dyDescent="0.25">
      <c r="A36" s="25" t="s">
        <v>13</v>
      </c>
      <c r="B36" s="21">
        <v>186</v>
      </c>
      <c r="C36" s="22">
        <v>16651</v>
      </c>
      <c r="F36" t="str">
        <v>R05</v>
      </c>
      <c r="G36">
        <v>200</v>
      </c>
      <c r="H36" s="26">
        <v>20104</v>
      </c>
      <c r="I36" t="e">
        <f t="shared" si="0"/>
        <v>#N/A</v>
      </c>
      <c r="J36" t="e">
        <f t="shared" si="1"/>
        <v>#N/A</v>
      </c>
    </row>
    <row r="37" spans="1:10" x14ac:dyDescent="0.25">
      <c r="A37" s="25" t="s">
        <v>10</v>
      </c>
      <c r="B37" s="21">
        <v>200</v>
      </c>
      <c r="C37" s="22">
        <v>20104</v>
      </c>
    </row>
    <row r="38" spans="1:10" x14ac:dyDescent="0.25">
      <c r="A38" s="25" t="s">
        <v>1048</v>
      </c>
      <c r="B38" s="21">
        <v>1000</v>
      </c>
      <c r="C38" s="22">
        <v>96623</v>
      </c>
    </row>
    <row r="44" spans="1:10" x14ac:dyDescent="0.25">
      <c r="A44" s="24" t="s">
        <v>1047</v>
      </c>
    </row>
    <row r="45" spans="1:10" x14ac:dyDescent="0.25">
      <c r="A45" s="27" t="s">
        <v>11</v>
      </c>
    </row>
    <row r="46" spans="1:10" x14ac:dyDescent="0.25">
      <c r="A46" s="27" t="s">
        <v>6</v>
      </c>
    </row>
    <row r="47" spans="1:10" x14ac:dyDescent="0.25">
      <c r="A47" s="27" t="s">
        <v>10</v>
      </c>
    </row>
    <row r="52" spans="1:9" x14ac:dyDescent="0.25">
      <c r="A52" s="24" t="s">
        <v>1042</v>
      </c>
      <c r="B52" s="24" t="s">
        <v>1076</v>
      </c>
      <c r="H52" s="24" t="s">
        <v>1047</v>
      </c>
      <c r="I52" t="s">
        <v>1042</v>
      </c>
    </row>
    <row r="53" spans="1:9" x14ac:dyDescent="0.25">
      <c r="A53" s="24" t="s">
        <v>1047</v>
      </c>
      <c r="B53" t="s">
        <v>999</v>
      </c>
      <c r="C53" t="s">
        <v>998</v>
      </c>
      <c r="D53" t="s">
        <v>1048</v>
      </c>
      <c r="H53" s="25">
        <v>0</v>
      </c>
      <c r="I53" s="21">
        <v>1</v>
      </c>
    </row>
    <row r="54" spans="1:9" x14ac:dyDescent="0.25">
      <c r="A54" s="25" t="s">
        <v>1002</v>
      </c>
      <c r="B54" s="21">
        <v>144</v>
      </c>
      <c r="C54" s="21">
        <v>132</v>
      </c>
      <c r="D54" s="21">
        <v>276</v>
      </c>
      <c r="H54" s="25">
        <v>1</v>
      </c>
      <c r="I54" s="21">
        <v>2</v>
      </c>
    </row>
    <row r="55" spans="1:9" x14ac:dyDescent="0.25">
      <c r="A55" s="25" t="s">
        <v>1001</v>
      </c>
      <c r="B55" s="21">
        <v>326</v>
      </c>
      <c r="C55" s="21">
        <v>63</v>
      </c>
      <c r="D55" s="21">
        <v>389</v>
      </c>
      <c r="H55" s="25">
        <v>2</v>
      </c>
      <c r="I55" s="21">
        <v>30</v>
      </c>
    </row>
    <row r="56" spans="1:9" x14ac:dyDescent="0.25">
      <c r="A56" s="25" t="s">
        <v>1000</v>
      </c>
      <c r="B56" s="21">
        <v>129</v>
      </c>
      <c r="C56" s="21">
        <v>206</v>
      </c>
      <c r="D56" s="21">
        <v>335</v>
      </c>
      <c r="H56" s="25">
        <v>3</v>
      </c>
      <c r="I56" s="21">
        <v>121</v>
      </c>
    </row>
    <row r="57" spans="1:9" x14ac:dyDescent="0.25">
      <c r="A57" s="25" t="s">
        <v>1048</v>
      </c>
      <c r="B57" s="21">
        <v>599</v>
      </c>
      <c r="C57" s="21">
        <v>401</v>
      </c>
      <c r="D57" s="21">
        <v>1000</v>
      </c>
      <c r="H57" s="25">
        <v>4</v>
      </c>
      <c r="I57" s="21">
        <v>271</v>
      </c>
    </row>
    <row r="58" spans="1:9" x14ac:dyDescent="0.25">
      <c r="H58" s="25">
        <v>5</v>
      </c>
      <c r="I58" s="21">
        <v>171</v>
      </c>
    </row>
    <row r="59" spans="1:9" x14ac:dyDescent="0.25">
      <c r="H59" s="25" t="s">
        <v>1048</v>
      </c>
      <c r="I59" s="21">
        <v>596</v>
      </c>
    </row>
    <row r="61" spans="1:9" x14ac:dyDescent="0.25">
      <c r="A61" s="24" t="s">
        <v>1077</v>
      </c>
      <c r="B61" t="s">
        <v>1042</v>
      </c>
      <c r="D61" t="s">
        <v>1078</v>
      </c>
    </row>
    <row r="62" spans="1:9" x14ac:dyDescent="0.25">
      <c r="A62" s="25">
        <v>0</v>
      </c>
      <c r="B62" s="21">
        <v>1</v>
      </c>
    </row>
    <row r="63" spans="1:9" x14ac:dyDescent="0.25">
      <c r="A63" s="25">
        <v>1</v>
      </c>
      <c r="B63" s="21">
        <v>2</v>
      </c>
    </row>
    <row r="64" spans="1:9" x14ac:dyDescent="0.25">
      <c r="A64" s="25">
        <v>2</v>
      </c>
      <c r="B64" s="21">
        <v>30</v>
      </c>
    </row>
    <row r="65" spans="1:7" x14ac:dyDescent="0.25">
      <c r="A65" s="25">
        <v>3</v>
      </c>
      <c r="B65" s="21">
        <v>121</v>
      </c>
    </row>
    <row r="66" spans="1:7" x14ac:dyDescent="0.25">
      <c r="A66" s="25">
        <v>4</v>
      </c>
      <c r="B66" s="21">
        <v>271</v>
      </c>
    </row>
    <row r="67" spans="1:7" x14ac:dyDescent="0.25">
      <c r="A67" s="25">
        <v>5</v>
      </c>
      <c r="B67" s="21">
        <v>171</v>
      </c>
    </row>
    <row r="68" spans="1:7" x14ac:dyDescent="0.25">
      <c r="A68" s="25" t="s">
        <v>1048</v>
      </c>
      <c r="B68" s="21">
        <v>596</v>
      </c>
    </row>
    <row r="71" spans="1:7" x14ac:dyDescent="0.25">
      <c r="A71" s="24" t="s">
        <v>1043</v>
      </c>
      <c r="B71" s="24" t="s">
        <v>1076</v>
      </c>
    </row>
    <row r="72" spans="1:7" x14ac:dyDescent="0.25">
      <c r="A72" s="24" t="s">
        <v>1047</v>
      </c>
      <c r="B72" t="s">
        <v>11</v>
      </c>
      <c r="C72" t="s">
        <v>9</v>
      </c>
      <c r="D72" t="s">
        <v>6</v>
      </c>
      <c r="E72" t="s">
        <v>13</v>
      </c>
      <c r="F72" t="s">
        <v>10</v>
      </c>
      <c r="G72" t="s">
        <v>1048</v>
      </c>
    </row>
    <row r="73" spans="1:7" x14ac:dyDescent="0.25">
      <c r="A73" s="25" t="s">
        <v>1002</v>
      </c>
    </row>
    <row r="74" spans="1:7" x14ac:dyDescent="0.25">
      <c r="A74" s="28" t="s">
        <v>20</v>
      </c>
      <c r="B74" s="22">
        <v>891</v>
      </c>
      <c r="C74" s="22">
        <v>1332</v>
      </c>
      <c r="D74" s="22">
        <v>1282</v>
      </c>
      <c r="E74" s="22">
        <v>739</v>
      </c>
      <c r="F74" s="22">
        <v>560</v>
      </c>
      <c r="G74" s="22">
        <v>4804</v>
      </c>
    </row>
    <row r="75" spans="1:7" x14ac:dyDescent="0.25">
      <c r="A75" s="28" t="s">
        <v>12</v>
      </c>
      <c r="B75" s="22">
        <v>1991</v>
      </c>
      <c r="C75" s="22">
        <v>1886</v>
      </c>
      <c r="D75" s="22">
        <v>1206</v>
      </c>
      <c r="E75" s="22">
        <v>884</v>
      </c>
      <c r="F75" s="22">
        <v>1722</v>
      </c>
      <c r="G75" s="22">
        <v>7689</v>
      </c>
    </row>
    <row r="76" spans="1:7" x14ac:dyDescent="0.25">
      <c r="A76" s="28" t="s">
        <v>8</v>
      </c>
      <c r="B76" s="22">
        <v>1163</v>
      </c>
      <c r="C76" s="22">
        <v>1180</v>
      </c>
      <c r="D76" s="22">
        <v>1616</v>
      </c>
      <c r="E76" s="22">
        <v>1043</v>
      </c>
      <c r="F76" s="22">
        <v>1747</v>
      </c>
      <c r="G76" s="22">
        <v>6749</v>
      </c>
    </row>
    <row r="77" spans="1:7" x14ac:dyDescent="0.25">
      <c r="A77" s="28" t="s">
        <v>16</v>
      </c>
      <c r="B77" s="22">
        <v>1438</v>
      </c>
      <c r="C77" s="22">
        <v>1616</v>
      </c>
      <c r="D77" s="22">
        <v>866</v>
      </c>
      <c r="E77" s="22">
        <v>829</v>
      </c>
      <c r="F77" s="22">
        <v>2070</v>
      </c>
      <c r="G77" s="22">
        <v>6819</v>
      </c>
    </row>
    <row r="78" spans="1:7" x14ac:dyDescent="0.25">
      <c r="A78" s="25" t="s">
        <v>1001</v>
      </c>
    </row>
    <row r="79" spans="1:7" x14ac:dyDescent="0.25">
      <c r="A79" s="28" t="s">
        <v>24</v>
      </c>
      <c r="B79" s="22">
        <v>1233</v>
      </c>
      <c r="C79" s="22">
        <v>223</v>
      </c>
      <c r="D79" s="22">
        <v>1680</v>
      </c>
      <c r="E79" s="22">
        <v>990</v>
      </c>
      <c r="F79" s="22">
        <v>1508</v>
      </c>
      <c r="G79" s="22">
        <v>5634</v>
      </c>
    </row>
    <row r="80" spans="1:7" x14ac:dyDescent="0.25">
      <c r="A80" s="28" t="s">
        <v>15</v>
      </c>
      <c r="B80" s="22">
        <v>1598</v>
      </c>
      <c r="C80" s="22">
        <v>1907</v>
      </c>
      <c r="D80" s="22">
        <v>869</v>
      </c>
      <c r="E80" s="22">
        <v>1426</v>
      </c>
      <c r="F80" s="22">
        <v>1416</v>
      </c>
      <c r="G80" s="22">
        <v>7216</v>
      </c>
    </row>
    <row r="81" spans="1:7" x14ac:dyDescent="0.25">
      <c r="A81" s="28" t="s">
        <v>5</v>
      </c>
      <c r="B81" s="22">
        <v>900</v>
      </c>
      <c r="C81" s="22">
        <v>1016</v>
      </c>
      <c r="D81" s="22">
        <v>960</v>
      </c>
      <c r="E81" s="22">
        <v>940</v>
      </c>
      <c r="F81" s="22">
        <v>1193</v>
      </c>
      <c r="G81" s="22">
        <v>5009</v>
      </c>
    </row>
    <row r="82" spans="1:7" x14ac:dyDescent="0.25">
      <c r="A82" s="28" t="s">
        <v>18</v>
      </c>
      <c r="B82" s="22">
        <v>900</v>
      </c>
      <c r="C82" s="22">
        <v>1470</v>
      </c>
      <c r="D82" s="22">
        <v>1617</v>
      </c>
      <c r="E82" s="22">
        <v>1314</v>
      </c>
      <c r="F82" s="22">
        <v>941</v>
      </c>
      <c r="G82" s="22">
        <v>6242</v>
      </c>
    </row>
    <row r="83" spans="1:7" x14ac:dyDescent="0.25">
      <c r="A83" s="28" t="s">
        <v>14</v>
      </c>
      <c r="B83" s="22">
        <v>1255</v>
      </c>
      <c r="C83" s="22">
        <v>516</v>
      </c>
      <c r="D83" s="22">
        <v>1874</v>
      </c>
      <c r="E83" s="22">
        <v>1863</v>
      </c>
      <c r="F83" s="22">
        <v>1722</v>
      </c>
      <c r="G83" s="22">
        <v>7230</v>
      </c>
    </row>
    <row r="84" spans="1:7" x14ac:dyDescent="0.25">
      <c r="A84" s="28" t="s">
        <v>19</v>
      </c>
      <c r="B84" s="22">
        <v>1138</v>
      </c>
      <c r="C84" s="22">
        <v>1898</v>
      </c>
      <c r="D84" s="22">
        <v>1482</v>
      </c>
      <c r="E84" s="22">
        <v>846</v>
      </c>
      <c r="F84" s="22">
        <v>1154</v>
      </c>
      <c r="G84" s="22">
        <v>6518</v>
      </c>
    </row>
    <row r="85" spans="1:7" x14ac:dyDescent="0.25">
      <c r="A85" s="25" t="s">
        <v>1000</v>
      </c>
    </row>
    <row r="86" spans="1:7" x14ac:dyDescent="0.25">
      <c r="A86" s="28" t="s">
        <v>17</v>
      </c>
      <c r="B86" s="22">
        <v>1655</v>
      </c>
      <c r="C86" s="22">
        <v>805</v>
      </c>
      <c r="D86" s="22">
        <v>2263</v>
      </c>
      <c r="E86" s="22">
        <v>987</v>
      </c>
      <c r="F86" s="22">
        <v>1075</v>
      </c>
      <c r="G86" s="22">
        <v>6785</v>
      </c>
    </row>
    <row r="87" spans="1:7" x14ac:dyDescent="0.25">
      <c r="A87" s="28" t="s">
        <v>23</v>
      </c>
      <c r="B87" s="22">
        <v>1104</v>
      </c>
      <c r="C87" s="22">
        <v>2280</v>
      </c>
      <c r="D87" s="22">
        <v>1445</v>
      </c>
      <c r="E87" s="22">
        <v>1722</v>
      </c>
      <c r="F87" s="22">
        <v>1196</v>
      </c>
      <c r="G87" s="22">
        <v>7747</v>
      </c>
    </row>
    <row r="88" spans="1:7" x14ac:dyDescent="0.25">
      <c r="A88" s="28" t="s">
        <v>7</v>
      </c>
      <c r="B88" s="22">
        <v>372</v>
      </c>
      <c r="C88" s="22">
        <v>1818</v>
      </c>
      <c r="D88" s="22">
        <v>1346</v>
      </c>
      <c r="E88" s="22">
        <v>1156</v>
      </c>
      <c r="F88" s="22">
        <v>1484</v>
      </c>
      <c r="G88" s="22">
        <v>6176</v>
      </c>
    </row>
    <row r="89" spans="1:7" x14ac:dyDescent="0.25">
      <c r="A89" s="28" t="s">
        <v>22</v>
      </c>
      <c r="B89" s="22">
        <v>1415</v>
      </c>
      <c r="C89" s="22">
        <v>1271</v>
      </c>
      <c r="D89" s="22">
        <v>1214</v>
      </c>
      <c r="E89" s="22">
        <v>1135</v>
      </c>
      <c r="F89" s="22">
        <v>1566</v>
      </c>
      <c r="G89" s="22">
        <v>6601</v>
      </c>
    </row>
    <row r="90" spans="1:7" x14ac:dyDescent="0.25">
      <c r="A90" s="28" t="s">
        <v>21</v>
      </c>
      <c r="B90" s="22">
        <v>1362</v>
      </c>
      <c r="C90" s="22">
        <v>1363</v>
      </c>
      <c r="D90" s="22">
        <v>1152</v>
      </c>
      <c r="E90" s="22">
        <v>777</v>
      </c>
      <c r="F90" s="22">
        <v>750</v>
      </c>
      <c r="G90" s="22">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6" sqref="H16"/>
    </sheetView>
  </sheetViews>
  <sheetFormatPr defaultRowHeight="13.8" x14ac:dyDescent="0.25"/>
  <cols>
    <col min="5" max="5" width="10.8984375" customWidth="1"/>
    <col min="6" max="6" width="9.8984375" customWidth="1"/>
  </cols>
  <sheetData>
    <row r="2" spans="5:6" x14ac:dyDescent="0.25">
      <c r="E2" t="s">
        <v>1040</v>
      </c>
      <c r="F2" t="s">
        <v>1041</v>
      </c>
    </row>
    <row r="3" spans="5:6" ht="25.5" customHeight="1" x14ac:dyDescent="0.25">
      <c r="E3" t="s">
        <v>11</v>
      </c>
      <c r="F3" t="e" vm="1">
        <v>#VALUE!</v>
      </c>
    </row>
    <row r="4" spans="5:6" ht="25.5" customHeight="1" x14ac:dyDescent="0.25">
      <c r="E4" t="s">
        <v>9</v>
      </c>
      <c r="F4" t="e" vm="2">
        <v>#VALUE!</v>
      </c>
    </row>
    <row r="5" spans="5:6" ht="25.5" customHeight="1" x14ac:dyDescent="0.25">
      <c r="E5" t="s">
        <v>6</v>
      </c>
      <c r="F5" t="e" vm="3">
        <v>#VALUE!</v>
      </c>
    </row>
    <row r="6" spans="5:6" ht="25.5" customHeight="1" x14ac:dyDescent="0.25">
      <c r="E6" t="s">
        <v>13</v>
      </c>
      <c r="F6" t="e" vm="4">
        <v>#VALUE!</v>
      </c>
    </row>
    <row r="7" spans="5:6" ht="25.5" customHeight="1" x14ac:dyDescent="0.25">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Report</vt:lpstr>
      <vt:lpstr>Data</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BHESARA ROHAN DINESH</cp:lastModifiedBy>
  <dcterms:created xsi:type="dcterms:W3CDTF">2021-03-14T20:21:32Z</dcterms:created>
  <dcterms:modified xsi:type="dcterms:W3CDTF">2026-09-27T08:51:03Z</dcterms:modified>
</cp:coreProperties>
</file>